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g\Dropbox\Michael\Work-Uni-Coding\Youngs Farm Analysis\FOG\Work\R&amp;D\Stirlings to Coast\RiskWise\Analysis\"/>
    </mc:Choice>
  </mc:AlternateContent>
  <xr:revisionPtr revIDLastSave="0" documentId="13_ncr:1_{2171A8AF-59E1-462F-B1BC-00EBD105B453}" xr6:coauthVersionLast="47" xr6:coauthVersionMax="47" xr10:uidLastSave="{00000000-0000-0000-0000-000000000000}"/>
  <bookViews>
    <workbookView xWindow="-28920" yWindow="-120" windowWidth="29040" windowHeight="15720" xr2:uid="{10EDD844-9EC5-4F2C-A4A7-506A3C8B05B2}"/>
  </bookViews>
  <sheets>
    <sheet name="Data" sheetId="1" r:id="rId1"/>
    <sheet name="Constants" sheetId="3" r:id="rId2"/>
  </sheets>
  <definedNames>
    <definedName name="_xlnm._FilterDatabase" localSheetId="0" hidden="1">Data!$A$1:$W$181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2" i="1" l="1"/>
  <c r="V159" i="1"/>
  <c r="W159" i="1"/>
  <c r="U170" i="1" l="1"/>
  <c r="V170" i="1" s="1"/>
  <c r="W170" i="1" s="1"/>
  <c r="V32" i="1"/>
  <c r="W32" i="1" s="1"/>
  <c r="V53" i="1"/>
  <c r="W53" i="1" s="1"/>
  <c r="V113" i="1"/>
  <c r="W113" i="1" s="1"/>
  <c r="V132" i="1"/>
  <c r="W132" i="1" s="1"/>
  <c r="V172" i="1"/>
  <c r="W172" i="1" s="1"/>
  <c r="U25" i="1"/>
  <c r="V25" i="1" s="1"/>
  <c r="W25" i="1" s="1"/>
  <c r="U26" i="1"/>
  <c r="V26" i="1" s="1"/>
  <c r="W26" i="1" s="1"/>
  <c r="U27" i="1"/>
  <c r="V27" i="1" s="1"/>
  <c r="W27" i="1" s="1"/>
  <c r="U28" i="1"/>
  <c r="V28" i="1" s="1"/>
  <c r="W28" i="1" s="1"/>
  <c r="U29" i="1"/>
  <c r="V29" i="1" s="1"/>
  <c r="W29" i="1" s="1"/>
  <c r="U30" i="1"/>
  <c r="V30" i="1" s="1"/>
  <c r="W30" i="1" s="1"/>
  <c r="U31" i="1"/>
  <c r="V31" i="1" s="1"/>
  <c r="W31" i="1" s="1"/>
  <c r="U32" i="1"/>
  <c r="U33" i="1"/>
  <c r="V33" i="1" s="1"/>
  <c r="W33" i="1" s="1"/>
  <c r="U34" i="1"/>
  <c r="V34" i="1" s="1"/>
  <c r="W34" i="1" s="1"/>
  <c r="U35" i="1"/>
  <c r="V35" i="1" s="1"/>
  <c r="W35" i="1" s="1"/>
  <c r="U36" i="1"/>
  <c r="V36" i="1" s="1"/>
  <c r="W36" i="1" s="1"/>
  <c r="U37" i="1"/>
  <c r="V37" i="1" s="1"/>
  <c r="W37" i="1" s="1"/>
  <c r="U38" i="1"/>
  <c r="V38" i="1" s="1"/>
  <c r="W38" i="1" s="1"/>
  <c r="U39" i="1"/>
  <c r="V39" i="1" s="1"/>
  <c r="W39" i="1" s="1"/>
  <c r="U40" i="1"/>
  <c r="V40" i="1" s="1"/>
  <c r="W40" i="1" s="1"/>
  <c r="U41" i="1"/>
  <c r="V41" i="1" s="1"/>
  <c r="W41" i="1" s="1"/>
  <c r="U42" i="1"/>
  <c r="V42" i="1" s="1"/>
  <c r="W42" i="1" s="1"/>
  <c r="U43" i="1"/>
  <c r="V43" i="1" s="1"/>
  <c r="W43" i="1" s="1"/>
  <c r="U44" i="1"/>
  <c r="V44" i="1" s="1"/>
  <c r="W44" i="1" s="1"/>
  <c r="U45" i="1"/>
  <c r="V45" i="1" s="1"/>
  <c r="W45" i="1" s="1"/>
  <c r="U46" i="1"/>
  <c r="V46" i="1" s="1"/>
  <c r="W46" i="1" s="1"/>
  <c r="U47" i="1"/>
  <c r="V47" i="1" s="1"/>
  <c r="W47" i="1" s="1"/>
  <c r="U48" i="1"/>
  <c r="V48" i="1" s="1"/>
  <c r="W48" i="1" s="1"/>
  <c r="U49" i="1"/>
  <c r="V49" i="1" s="1"/>
  <c r="W49" i="1" s="1"/>
  <c r="U50" i="1"/>
  <c r="V50" i="1" s="1"/>
  <c r="W50" i="1" s="1"/>
  <c r="U51" i="1"/>
  <c r="V51" i="1" s="1"/>
  <c r="W51" i="1" s="1"/>
  <c r="U52" i="1"/>
  <c r="V52" i="1" s="1"/>
  <c r="W52" i="1" s="1"/>
  <c r="U53" i="1"/>
  <c r="U54" i="1"/>
  <c r="V54" i="1" s="1"/>
  <c r="W54" i="1" s="1"/>
  <c r="U55" i="1"/>
  <c r="V55" i="1" s="1"/>
  <c r="W55" i="1" s="1"/>
  <c r="U56" i="1"/>
  <c r="V56" i="1" s="1"/>
  <c r="W56" i="1" s="1"/>
  <c r="U57" i="1"/>
  <c r="V57" i="1" s="1"/>
  <c r="W57" i="1" s="1"/>
  <c r="U58" i="1"/>
  <c r="V58" i="1" s="1"/>
  <c r="W58" i="1" s="1"/>
  <c r="U59" i="1"/>
  <c r="V59" i="1" s="1"/>
  <c r="W59" i="1" s="1"/>
  <c r="U60" i="1"/>
  <c r="V60" i="1" s="1"/>
  <c r="W60" i="1" s="1"/>
  <c r="U61" i="1"/>
  <c r="V61" i="1" s="1"/>
  <c r="W61" i="1" s="1"/>
  <c r="U62" i="1"/>
  <c r="V62" i="1" s="1"/>
  <c r="W62" i="1" s="1"/>
  <c r="U63" i="1"/>
  <c r="V63" i="1" s="1"/>
  <c r="W63" i="1" s="1"/>
  <c r="U64" i="1"/>
  <c r="V64" i="1" s="1"/>
  <c r="W64" i="1" s="1"/>
  <c r="U65" i="1"/>
  <c r="V65" i="1" s="1"/>
  <c r="W65" i="1" s="1"/>
  <c r="U66" i="1"/>
  <c r="V66" i="1" s="1"/>
  <c r="W66" i="1" s="1"/>
  <c r="U67" i="1"/>
  <c r="V67" i="1" s="1"/>
  <c r="W67" i="1" s="1"/>
  <c r="U68" i="1"/>
  <c r="V68" i="1" s="1"/>
  <c r="W68" i="1" s="1"/>
  <c r="U69" i="1"/>
  <c r="V69" i="1" s="1"/>
  <c r="W69" i="1" s="1"/>
  <c r="U70" i="1"/>
  <c r="V70" i="1" s="1"/>
  <c r="W70" i="1" s="1"/>
  <c r="U71" i="1"/>
  <c r="V71" i="1" s="1"/>
  <c r="W71" i="1" s="1"/>
  <c r="U72" i="1"/>
  <c r="V72" i="1" s="1"/>
  <c r="W72" i="1" s="1"/>
  <c r="U73" i="1"/>
  <c r="V73" i="1" s="1"/>
  <c r="W73" i="1" s="1"/>
  <c r="U74" i="1"/>
  <c r="V74" i="1" s="1"/>
  <c r="W74" i="1" s="1"/>
  <c r="U75" i="1"/>
  <c r="V75" i="1" s="1"/>
  <c r="W75" i="1" s="1"/>
  <c r="U76" i="1"/>
  <c r="V76" i="1" s="1"/>
  <c r="W76" i="1" s="1"/>
  <c r="U77" i="1"/>
  <c r="V77" i="1" s="1"/>
  <c r="W77" i="1" s="1"/>
  <c r="U78" i="1"/>
  <c r="V78" i="1" s="1"/>
  <c r="W78" i="1" s="1"/>
  <c r="U79" i="1"/>
  <c r="V79" i="1" s="1"/>
  <c r="W79" i="1" s="1"/>
  <c r="U80" i="1"/>
  <c r="V80" i="1" s="1"/>
  <c r="W80" i="1" s="1"/>
  <c r="U81" i="1"/>
  <c r="V81" i="1" s="1"/>
  <c r="W81" i="1" s="1"/>
  <c r="U82" i="1"/>
  <c r="V82" i="1" s="1"/>
  <c r="W82" i="1" s="1"/>
  <c r="U83" i="1"/>
  <c r="V83" i="1" s="1"/>
  <c r="W83" i="1" s="1"/>
  <c r="U84" i="1"/>
  <c r="V84" i="1" s="1"/>
  <c r="W84" i="1" s="1"/>
  <c r="U85" i="1"/>
  <c r="V85" i="1" s="1"/>
  <c r="W85" i="1" s="1"/>
  <c r="U86" i="1"/>
  <c r="V86" i="1" s="1"/>
  <c r="W86" i="1" s="1"/>
  <c r="U87" i="1"/>
  <c r="V87" i="1" s="1"/>
  <c r="W87" i="1" s="1"/>
  <c r="U88" i="1"/>
  <c r="V88" i="1" s="1"/>
  <c r="W88" i="1" s="1"/>
  <c r="U89" i="1"/>
  <c r="V89" i="1" s="1"/>
  <c r="W89" i="1" s="1"/>
  <c r="U90" i="1"/>
  <c r="V90" i="1" s="1"/>
  <c r="W90" i="1" s="1"/>
  <c r="U91" i="1"/>
  <c r="V91" i="1" s="1"/>
  <c r="W91" i="1" s="1"/>
  <c r="U92" i="1"/>
  <c r="V92" i="1" s="1"/>
  <c r="W92" i="1" s="1"/>
  <c r="U93" i="1"/>
  <c r="V93" i="1" s="1"/>
  <c r="W93" i="1" s="1"/>
  <c r="U94" i="1"/>
  <c r="V94" i="1" s="1"/>
  <c r="W94" i="1" s="1"/>
  <c r="U95" i="1"/>
  <c r="V95" i="1" s="1"/>
  <c r="W95" i="1" s="1"/>
  <c r="U96" i="1"/>
  <c r="V96" i="1" s="1"/>
  <c r="W96" i="1" s="1"/>
  <c r="U97" i="1"/>
  <c r="V97" i="1" s="1"/>
  <c r="W97" i="1" s="1"/>
  <c r="U98" i="1"/>
  <c r="V98" i="1" s="1"/>
  <c r="W98" i="1" s="1"/>
  <c r="U99" i="1"/>
  <c r="V99" i="1" s="1"/>
  <c r="W99" i="1" s="1"/>
  <c r="U100" i="1"/>
  <c r="V100" i="1" s="1"/>
  <c r="W100" i="1" s="1"/>
  <c r="U101" i="1"/>
  <c r="V101" i="1" s="1"/>
  <c r="W101" i="1" s="1"/>
  <c r="U102" i="1"/>
  <c r="V102" i="1" s="1"/>
  <c r="W102" i="1" s="1"/>
  <c r="U103" i="1"/>
  <c r="V103" i="1" s="1"/>
  <c r="W103" i="1" s="1"/>
  <c r="U104" i="1"/>
  <c r="V104" i="1" s="1"/>
  <c r="W104" i="1" s="1"/>
  <c r="U105" i="1"/>
  <c r="V105" i="1" s="1"/>
  <c r="W105" i="1" s="1"/>
  <c r="U106" i="1"/>
  <c r="V106" i="1" s="1"/>
  <c r="W106" i="1" s="1"/>
  <c r="U107" i="1"/>
  <c r="V107" i="1" s="1"/>
  <c r="W107" i="1" s="1"/>
  <c r="U108" i="1"/>
  <c r="V108" i="1" s="1"/>
  <c r="W108" i="1" s="1"/>
  <c r="U109" i="1"/>
  <c r="V109" i="1" s="1"/>
  <c r="W109" i="1" s="1"/>
  <c r="U110" i="1"/>
  <c r="V110" i="1" s="1"/>
  <c r="W110" i="1" s="1"/>
  <c r="U111" i="1"/>
  <c r="V111" i="1" s="1"/>
  <c r="W111" i="1" s="1"/>
  <c r="V112" i="1"/>
  <c r="W112" i="1" s="1"/>
  <c r="U113" i="1"/>
  <c r="U114" i="1"/>
  <c r="V114" i="1" s="1"/>
  <c r="W114" i="1" s="1"/>
  <c r="U115" i="1"/>
  <c r="V115" i="1" s="1"/>
  <c r="W115" i="1" s="1"/>
  <c r="U116" i="1"/>
  <c r="V116" i="1" s="1"/>
  <c r="W116" i="1" s="1"/>
  <c r="U117" i="1"/>
  <c r="V117" i="1" s="1"/>
  <c r="W117" i="1" s="1"/>
  <c r="U118" i="1"/>
  <c r="V118" i="1" s="1"/>
  <c r="W118" i="1" s="1"/>
  <c r="U119" i="1"/>
  <c r="V119" i="1" s="1"/>
  <c r="W119" i="1" s="1"/>
  <c r="U120" i="1"/>
  <c r="V120" i="1" s="1"/>
  <c r="W120" i="1" s="1"/>
  <c r="U121" i="1"/>
  <c r="V121" i="1" s="1"/>
  <c r="W121" i="1" s="1"/>
  <c r="U122" i="1"/>
  <c r="V122" i="1" s="1"/>
  <c r="W122" i="1" s="1"/>
  <c r="U123" i="1"/>
  <c r="V123" i="1" s="1"/>
  <c r="W123" i="1" s="1"/>
  <c r="U124" i="1"/>
  <c r="V124" i="1" s="1"/>
  <c r="W124" i="1" s="1"/>
  <c r="U125" i="1"/>
  <c r="V125" i="1" s="1"/>
  <c r="W125" i="1" s="1"/>
  <c r="U126" i="1"/>
  <c r="V126" i="1" s="1"/>
  <c r="W126" i="1" s="1"/>
  <c r="U127" i="1"/>
  <c r="V127" i="1" s="1"/>
  <c r="W127" i="1" s="1"/>
  <c r="U128" i="1"/>
  <c r="V128" i="1" s="1"/>
  <c r="W128" i="1" s="1"/>
  <c r="U129" i="1"/>
  <c r="V129" i="1" s="1"/>
  <c r="W129" i="1" s="1"/>
  <c r="U130" i="1"/>
  <c r="V130" i="1" s="1"/>
  <c r="W130" i="1" s="1"/>
  <c r="U131" i="1"/>
  <c r="V131" i="1" s="1"/>
  <c r="W131" i="1" s="1"/>
  <c r="U132" i="1"/>
  <c r="U133" i="1"/>
  <c r="V133" i="1" s="1"/>
  <c r="W133" i="1" s="1"/>
  <c r="U134" i="1"/>
  <c r="V134" i="1" s="1"/>
  <c r="W134" i="1" s="1"/>
  <c r="U135" i="1"/>
  <c r="V135" i="1" s="1"/>
  <c r="W135" i="1" s="1"/>
  <c r="U136" i="1"/>
  <c r="V136" i="1" s="1"/>
  <c r="W136" i="1" s="1"/>
  <c r="U137" i="1"/>
  <c r="V137" i="1" s="1"/>
  <c r="W137" i="1" s="1"/>
  <c r="U138" i="1"/>
  <c r="V138" i="1" s="1"/>
  <c r="W138" i="1" s="1"/>
  <c r="U139" i="1"/>
  <c r="V139" i="1" s="1"/>
  <c r="W139" i="1" s="1"/>
  <c r="U140" i="1"/>
  <c r="V140" i="1" s="1"/>
  <c r="W140" i="1" s="1"/>
  <c r="U141" i="1"/>
  <c r="V141" i="1" s="1"/>
  <c r="W141" i="1" s="1"/>
  <c r="U142" i="1"/>
  <c r="V142" i="1" s="1"/>
  <c r="W142" i="1" s="1"/>
  <c r="U143" i="1"/>
  <c r="V143" i="1" s="1"/>
  <c r="W143" i="1" s="1"/>
  <c r="U144" i="1"/>
  <c r="V144" i="1" s="1"/>
  <c r="W144" i="1" s="1"/>
  <c r="U145" i="1"/>
  <c r="V145" i="1" s="1"/>
  <c r="W145" i="1" s="1"/>
  <c r="U146" i="1"/>
  <c r="V146" i="1" s="1"/>
  <c r="W146" i="1" s="1"/>
  <c r="U147" i="1"/>
  <c r="V147" i="1" s="1"/>
  <c r="W147" i="1" s="1"/>
  <c r="U148" i="1"/>
  <c r="V148" i="1" s="1"/>
  <c r="W148" i="1" s="1"/>
  <c r="U149" i="1"/>
  <c r="V149" i="1" s="1"/>
  <c r="W149" i="1" s="1"/>
  <c r="U150" i="1"/>
  <c r="V150" i="1" s="1"/>
  <c r="W150" i="1" s="1"/>
  <c r="U151" i="1"/>
  <c r="V151" i="1" s="1"/>
  <c r="W151" i="1" s="1"/>
  <c r="U152" i="1"/>
  <c r="V152" i="1" s="1"/>
  <c r="W152" i="1" s="1"/>
  <c r="U153" i="1"/>
  <c r="V153" i="1" s="1"/>
  <c r="W153" i="1" s="1"/>
  <c r="U154" i="1"/>
  <c r="V154" i="1" s="1"/>
  <c r="W154" i="1" s="1"/>
  <c r="U155" i="1"/>
  <c r="V155" i="1" s="1"/>
  <c r="W155" i="1" s="1"/>
  <c r="U156" i="1"/>
  <c r="V156" i="1" s="1"/>
  <c r="W156" i="1" s="1"/>
  <c r="U157" i="1"/>
  <c r="V157" i="1" s="1"/>
  <c r="W157" i="1" s="1"/>
  <c r="U158" i="1"/>
  <c r="V158" i="1" s="1"/>
  <c r="W158" i="1" s="1"/>
  <c r="U159" i="1"/>
  <c r="U160" i="1"/>
  <c r="V160" i="1" s="1"/>
  <c r="W160" i="1" s="1"/>
  <c r="U161" i="1"/>
  <c r="V161" i="1" s="1"/>
  <c r="W161" i="1" s="1"/>
  <c r="U162" i="1"/>
  <c r="V162" i="1" s="1"/>
  <c r="W162" i="1" s="1"/>
  <c r="U163" i="1"/>
  <c r="V163" i="1" s="1"/>
  <c r="W163" i="1" s="1"/>
  <c r="U164" i="1"/>
  <c r="V164" i="1" s="1"/>
  <c r="W164" i="1" s="1"/>
  <c r="U165" i="1"/>
  <c r="V165" i="1" s="1"/>
  <c r="W165" i="1" s="1"/>
  <c r="U166" i="1"/>
  <c r="V166" i="1" s="1"/>
  <c r="W166" i="1" s="1"/>
  <c r="U167" i="1"/>
  <c r="V167" i="1" s="1"/>
  <c r="W167" i="1" s="1"/>
  <c r="U168" i="1"/>
  <c r="V168" i="1" s="1"/>
  <c r="W168" i="1" s="1"/>
  <c r="U169" i="1"/>
  <c r="V169" i="1" s="1"/>
  <c r="W169" i="1" s="1"/>
  <c r="U171" i="1"/>
  <c r="V171" i="1" s="1"/>
  <c r="W171" i="1" s="1"/>
  <c r="U172" i="1"/>
  <c r="U173" i="1"/>
  <c r="V173" i="1" s="1"/>
  <c r="W173" i="1" s="1"/>
  <c r="U174" i="1"/>
  <c r="V174" i="1" s="1"/>
  <c r="W174" i="1" s="1"/>
  <c r="U175" i="1"/>
  <c r="V175" i="1" s="1"/>
  <c r="W175" i="1" s="1"/>
  <c r="U176" i="1"/>
  <c r="V176" i="1" s="1"/>
  <c r="W176" i="1" s="1"/>
  <c r="U177" i="1"/>
  <c r="V177" i="1" s="1"/>
  <c r="W177" i="1" s="1"/>
  <c r="U178" i="1"/>
  <c r="V178" i="1" s="1"/>
  <c r="W178" i="1" s="1"/>
  <c r="U179" i="1"/>
  <c r="V179" i="1" s="1"/>
  <c r="W179" i="1" s="1"/>
  <c r="U180" i="1"/>
  <c r="V180" i="1" s="1"/>
  <c r="W180" i="1" s="1"/>
  <c r="U181" i="1"/>
  <c r="V181" i="1" s="1"/>
  <c r="W181" i="1" s="1"/>
  <c r="U3" i="1"/>
  <c r="V3" i="1" s="1"/>
  <c r="W3" i="1" s="1"/>
  <c r="U4" i="1"/>
  <c r="V4" i="1" s="1"/>
  <c r="W4" i="1" s="1"/>
  <c r="U5" i="1"/>
  <c r="V5" i="1" s="1"/>
  <c r="W5" i="1" s="1"/>
  <c r="U6" i="1"/>
  <c r="V6" i="1" s="1"/>
  <c r="W6" i="1" s="1"/>
  <c r="U7" i="1"/>
  <c r="V7" i="1" s="1"/>
  <c r="W7" i="1" s="1"/>
  <c r="U8" i="1"/>
  <c r="V8" i="1" s="1"/>
  <c r="W8" i="1" s="1"/>
  <c r="U9" i="1"/>
  <c r="V9" i="1" s="1"/>
  <c r="W9" i="1" s="1"/>
  <c r="U10" i="1"/>
  <c r="V10" i="1" s="1"/>
  <c r="W10" i="1" s="1"/>
  <c r="U11" i="1"/>
  <c r="V11" i="1" s="1"/>
  <c r="W11" i="1" s="1"/>
  <c r="U12" i="1"/>
  <c r="V12" i="1" s="1"/>
  <c r="W12" i="1" s="1"/>
  <c r="U13" i="1"/>
  <c r="V13" i="1" s="1"/>
  <c r="W13" i="1" s="1"/>
  <c r="U14" i="1"/>
  <c r="V14" i="1" s="1"/>
  <c r="W14" i="1" s="1"/>
  <c r="U15" i="1"/>
  <c r="V15" i="1" s="1"/>
  <c r="W15" i="1" s="1"/>
  <c r="U16" i="1"/>
  <c r="V16" i="1" s="1"/>
  <c r="W16" i="1" s="1"/>
  <c r="U17" i="1"/>
  <c r="V17" i="1" s="1"/>
  <c r="W17" i="1" s="1"/>
  <c r="U18" i="1"/>
  <c r="V18" i="1" s="1"/>
  <c r="W18" i="1" s="1"/>
  <c r="U19" i="1"/>
  <c r="V19" i="1" s="1"/>
  <c r="W19" i="1" s="1"/>
  <c r="U20" i="1"/>
  <c r="V20" i="1" s="1"/>
  <c r="W20" i="1" s="1"/>
  <c r="U21" i="1"/>
  <c r="V21" i="1" s="1"/>
  <c r="W21" i="1" s="1"/>
  <c r="U22" i="1"/>
  <c r="V22" i="1" s="1"/>
  <c r="W22" i="1" s="1"/>
  <c r="U23" i="1"/>
  <c r="V23" i="1" s="1"/>
  <c r="W23" i="1" s="1"/>
  <c r="U24" i="1"/>
  <c r="V24" i="1" s="1"/>
  <c r="W24" i="1" s="1"/>
  <c r="U2" i="1"/>
  <c r="V2" i="1" s="1"/>
  <c r="W2" i="1" s="1"/>
  <c r="P1" i="1" l="1"/>
  <c r="O1" i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</author>
  </authors>
  <commentList>
    <comment ref="E1" authorId="0" shapeId="0" xr:uid="{44B6F5EC-3189-4650-8795-FF0FFFAB34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Low: sand (PAWC=57)
Medium: duplex (PAWC=90)
High: heavy (PAWC=135)</t>
        </r>
      </text>
    </comment>
    <comment ref="F1" authorId="0" shapeId="0" xr:uid="{675591EC-2F9A-4E3C-9E6A-B40FE4F9391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a. Early: before the 25th of April.
b. Medium: between the 25th of April and the 8th of May.
c. Late: after the 8th of May.
This could also be time of sowing if sowing occurs after the brk.</t>
        </r>
      </text>
    </comment>
    <comment ref="G1" authorId="0" shapeId="0" xr:uid="{80358D85-B24D-4FFF-B669-CAD56D4FDAA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a. Good: above average rainfall between sowing and mid-June.
b. Poor: below average rainfall between sowing and mid-June.
</t>
        </r>
      </text>
    </comment>
    <comment ref="H1" authorId="0" shapeId="0" xr:uid="{95F3B6CF-0EB8-4968-9383-4944E3FC38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30Aug- 30Oct
Good &gt;decile 6.5
Medium &gt;3.5 &amp; &lt;6.5
Poor = &lt;decile 3.5</t>
        </r>
      </text>
    </comment>
    <comment ref="I1" authorId="0" shapeId="0" xr:uid="{2AC67F33-19F1-42F7-B576-588382E8A1D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Good &gt;decile 6.5
Medium &gt;3.5 &amp; &lt;6.5
Poor = &lt;decile 3.5</t>
        </r>
      </text>
    </comment>
    <comment ref="U1" authorId="0" shapeId="0" xr:uid="{66A3C08A-C141-42A5-A06D-806E27D4D6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GN = protien/conversion factor
Wheat conversion=5.8
Barley 5.61
canola 6.25</t>
        </r>
      </text>
    </comment>
    <comment ref="F2" authorId="0" shapeId="0" xr:uid="{DC18FFD0-EFC4-43FD-8225-CE13820A06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" authorId="0" shapeId="0" xr:uid="{5A3A5A16-52EC-49A7-9CC3-48BEFB547F1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" authorId="0" shapeId="0" xr:uid="{C06B5066-8E87-4BC8-91F5-F7C1A58109D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" authorId="0" shapeId="0" xr:uid="{37059FCD-B897-4B41-8C31-8B3F49FAA4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" authorId="0" shapeId="0" xr:uid="{3B681229-1C16-46FD-9BC5-E622B1FBF9E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" authorId="0" shapeId="0" xr:uid="{0735920C-FEEA-44EA-B1A6-1FBD8B2685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" authorId="0" shapeId="0" xr:uid="{5DAAC698-87D2-4EBF-8687-AF0B511B56D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" authorId="0" shapeId="0" xr:uid="{F84E4A73-965E-4A9F-9333-5DF7B1D080A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" authorId="0" shapeId="0" xr:uid="{66B56376-A1DB-44D9-978E-3173200766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" authorId="0" shapeId="0" xr:uid="{274F087F-5F6E-411A-9B1B-72DF6ED3A4D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" authorId="0" shapeId="0" xr:uid="{409B3649-DCA0-4942-9C8D-D4B0CED7EB3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" authorId="0" shapeId="0" xr:uid="{37795944-CBBF-476D-8D26-554B2E56561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" authorId="0" shapeId="0" xr:uid="{76CA9AEC-5017-453E-B445-6F48FB7514F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" authorId="0" shapeId="0" xr:uid="{421CC925-944D-43A0-BF32-6B79BF61DD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" authorId="0" shapeId="0" xr:uid="{9F5179F6-F5D3-4D18-ABDD-5241DADFED3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" authorId="0" shapeId="0" xr:uid="{E9C3443D-21B3-4C5F-BCA4-C321A123F14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" authorId="0" shapeId="0" xr:uid="{FAEA5980-898F-4295-9BE6-F3A5C8BE6AD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" authorId="0" shapeId="0" xr:uid="{DE68A915-8A02-4C08-B0D9-E8481C97E58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" authorId="0" shapeId="0" xr:uid="{B85C1B88-2129-40B9-A076-028FD1D7E3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" authorId="0" shapeId="0" xr:uid="{8B0808A5-1ABA-4859-A452-8C024B0ADFD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" authorId="0" shapeId="0" xr:uid="{603C8ABF-EB0A-4E57-BF1D-5D00B58825F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" authorId="0" shapeId="0" xr:uid="{14EE5D67-A8A7-4D10-AA8A-51221303227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" authorId="0" shapeId="0" xr:uid="{426A7B5D-95D3-4EFD-8B3A-7F8DD55871C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" authorId="0" shapeId="0" xr:uid="{EFD6597A-9344-4B75-A4A1-06133877AE4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" authorId="0" shapeId="0" xr:uid="{A8AC72BA-4CA7-40EF-92B8-73FECF3E43E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" authorId="0" shapeId="0" xr:uid="{4990F667-4CAC-4755-88AD-89DC402FC2B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" authorId="0" shapeId="0" xr:uid="{05386AEF-BF03-4330-8D3D-B99920B69B1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" authorId="0" shapeId="0" xr:uid="{577ED028-9889-4006-80E6-CAEFB7EE46D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9" authorId="0" shapeId="0" xr:uid="{6A0F9A25-FF94-4483-A882-FF36FCF0B3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9" authorId="0" shapeId="0" xr:uid="{6C2CA04F-91FD-434A-86BC-5F901580EF9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9" authorId="0" shapeId="0" xr:uid="{4D640259-9126-41AF-AFF9-63113DB6FD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9" authorId="0" shapeId="0" xr:uid="{E72C1631-2DCB-4A14-B68A-A13966DBBF6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0" authorId="0" shapeId="0" xr:uid="{8C72862C-0BFD-4CD2-98F9-1400317415D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0" authorId="0" shapeId="0" xr:uid="{708205A3-924E-469A-9C60-50D46C6E2E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0" authorId="0" shapeId="0" xr:uid="{F06ACB2B-5474-4C80-B522-5828B33226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0" authorId="0" shapeId="0" xr:uid="{10EF517F-1F58-4092-B782-2F51CFA060F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1" authorId="0" shapeId="0" xr:uid="{A5E7A9FC-4294-4A0C-9AD5-13CAA99F37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1" authorId="0" shapeId="0" xr:uid="{2BC16EEE-116A-46FF-82C6-9D3E150730C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1" authorId="0" shapeId="0" xr:uid="{F9E37174-DF99-4A51-A900-E63794BA336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1" authorId="0" shapeId="0" xr:uid="{0770DB01-F3FE-4855-9BFD-B631096D510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2" authorId="0" shapeId="0" xr:uid="{F7CFFB9D-4DDB-49A9-8330-5A363B2127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2" authorId="0" shapeId="0" xr:uid="{C600E969-83A7-4FBF-8654-46A01F3F86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2" authorId="0" shapeId="0" xr:uid="{6072F902-02C8-46E8-8440-FD359AF1DC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2" authorId="0" shapeId="0" xr:uid="{60F5E313-EA23-4F63-8AF3-C284610888A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3" authorId="0" shapeId="0" xr:uid="{86B81F49-B8E6-441B-BBC4-39D25839D2C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3" authorId="0" shapeId="0" xr:uid="{9D0A43A7-A677-4199-A305-D9E023735A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3" authorId="0" shapeId="0" xr:uid="{4D3E6769-8BEC-4377-955D-1AC64A1476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3" authorId="0" shapeId="0" xr:uid="{B81E633C-E2EF-42E8-A18F-8FA18A4097E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4" authorId="0" shapeId="0" xr:uid="{0957004C-1F02-4D31-AF9F-3EFF7D22E40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4" authorId="0" shapeId="0" xr:uid="{6CD79FF2-FC6B-4FD1-BBB9-08BCE46F8CF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4" authorId="0" shapeId="0" xr:uid="{3912CE1A-F535-43CD-B5A7-5718FA0FF95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4" authorId="0" shapeId="0" xr:uid="{FA9EB092-BF29-4962-BDA3-99E9C8A834D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5" authorId="0" shapeId="0" xr:uid="{E632C24E-9510-4A93-A248-610B9D23036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5" authorId="0" shapeId="0" xr:uid="{B50237EB-9E6F-4888-9EB0-BD1DF9128E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5" authorId="0" shapeId="0" xr:uid="{2D6B1798-AFBA-4303-BAB6-FCD3A4D7214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5" authorId="0" shapeId="0" xr:uid="{5AAE419C-5D16-4675-A4CD-8429529FE0F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6" authorId="0" shapeId="0" xr:uid="{03D3054B-080D-4C1C-B39D-924A27F0480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6" authorId="0" shapeId="0" xr:uid="{9476D2C3-D2FC-4B7D-A422-1480A74285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6" authorId="0" shapeId="0" xr:uid="{57262894-2ABC-4AB4-BB01-64F7FD34858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6" authorId="0" shapeId="0" xr:uid="{50C6EB1C-BF70-43F7-80F4-3E1811205D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7" authorId="0" shapeId="0" xr:uid="{0C2292FE-5DD3-461A-A6EF-EB9E9A9D0BC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7" authorId="0" shapeId="0" xr:uid="{04BBFB79-E115-40A6-89E5-CC0F07D0F6E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7" authorId="0" shapeId="0" xr:uid="{F56CCB8F-FD5F-4380-AD80-902E9F5A49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7" authorId="0" shapeId="0" xr:uid="{86651C72-240E-449D-A53E-37D49F8BBF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" authorId="0" shapeId="0" xr:uid="{17587BDB-F937-4D07-9D87-921C4244489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8" authorId="0" shapeId="0" xr:uid="{DC10C466-9C42-4AF1-9847-1B02CD7AF5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8" authorId="0" shapeId="0" xr:uid="{FAEE0D17-AD5F-4FE7-AF7A-B2DB2444B4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8" authorId="0" shapeId="0" xr:uid="{27ABB259-F3F4-4713-81DF-B611DEE46CD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" authorId="0" shapeId="0" xr:uid="{F770C52B-0D6E-40A3-95BC-06353FCB7C4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19" authorId="0" shapeId="0" xr:uid="{0658D4A0-EE7C-4314-9C0B-36957080EB6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19" authorId="0" shapeId="0" xr:uid="{E2676057-7CAF-45A7-8304-D37745A9DB4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19" authorId="0" shapeId="0" xr:uid="{AF765984-69A8-4ADE-B908-D94F73731DC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" authorId="0" shapeId="0" xr:uid="{E40E20AE-C454-44CA-BB5E-EF9F38D1D7C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0" authorId="0" shapeId="0" xr:uid="{6A588017-9212-423C-9714-C921AC6A3A5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0" authorId="0" shapeId="0" xr:uid="{AE5B5E54-6918-469E-A449-364B10A66A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0" authorId="0" shapeId="0" xr:uid="{EEFFDB3F-5143-4A44-A9D9-56F64B36D43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" authorId="0" shapeId="0" xr:uid="{342A96AE-120F-48BB-B93E-C7DAA865400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1" authorId="0" shapeId="0" xr:uid="{49B26937-D865-42A6-A8E3-61E059D894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1" authorId="0" shapeId="0" xr:uid="{DDD7B4E3-C503-4CB8-A084-802E28B96E5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1" authorId="0" shapeId="0" xr:uid="{E2DCEC33-AFD8-498E-8D5D-06ED05AF11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" authorId="0" shapeId="0" xr:uid="{EDCE3757-5C14-4E4F-A56A-EDD007936BB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2" authorId="0" shapeId="0" xr:uid="{930091AC-9AD8-4B81-8AD6-EB620EC4FB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2" authorId="0" shapeId="0" xr:uid="{14D82BBA-1B95-4C26-818E-27F925F529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2" authorId="0" shapeId="0" xr:uid="{FBDD7260-98A5-4B7F-900E-44DC68AAF9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" authorId="0" shapeId="0" xr:uid="{E227CA38-5B94-4914-A517-9578DA464E9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3" authorId="0" shapeId="0" xr:uid="{D248784E-8C3B-4D4F-8407-56CF2CFE81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3" authorId="0" shapeId="0" xr:uid="{737D30CA-DB41-4F62-AA85-D40B5E5BF65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3" authorId="0" shapeId="0" xr:uid="{AAAB7B76-6744-4DE0-BF6A-B9F0A723C0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" authorId="0" shapeId="0" xr:uid="{37A4D44F-8CB0-49B4-AF03-377CFB4E8B4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4" authorId="0" shapeId="0" xr:uid="{030AB272-7B9F-4EFF-822E-F65D88BCBD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4" authorId="0" shapeId="0" xr:uid="{46C5E0C4-7E3C-4A67-A3E5-3B703E6CC2E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4" authorId="0" shapeId="0" xr:uid="{03C6D195-7A20-40BC-AF36-DC3F108ACD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" authorId="0" shapeId="0" xr:uid="{F1E066C9-ED4B-449F-8C4A-9E31A10BDD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5" authorId="0" shapeId="0" xr:uid="{1561794C-1786-462A-88BC-00637C4953F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5" authorId="0" shapeId="0" xr:uid="{E805D13E-343B-4126-B195-7E6E18B22B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5" authorId="0" shapeId="0" xr:uid="{306954BF-A169-4A9A-A11E-1986D5B938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" authorId="0" shapeId="0" xr:uid="{FEFC3311-0FEF-4E18-814C-1490A8BC02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6" authorId="0" shapeId="0" xr:uid="{DD73B76A-DE7B-4E82-B03B-6C0BF0BBF05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6" authorId="0" shapeId="0" xr:uid="{FDD7DD70-4D22-4FCE-B73E-6C8844199A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6" authorId="0" shapeId="0" xr:uid="{A4355CCD-7BA8-40A0-9A6F-FD45633B91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7" authorId="0" shapeId="0" xr:uid="{67A84E05-1324-4515-8D48-1B53FBCF9F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7" authorId="0" shapeId="0" xr:uid="{4101807F-B0C6-4009-8D3F-427AA55CB52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7" authorId="0" shapeId="0" xr:uid="{DE01727F-2BF7-48A1-90C2-7021B8AFD7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7" authorId="0" shapeId="0" xr:uid="{9E579013-3AC1-4A06-BE48-B13CD4084B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8" authorId="0" shapeId="0" xr:uid="{0FA07798-190D-4B22-A610-0F93D08CB54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8" authorId="0" shapeId="0" xr:uid="{C80F0919-2F6C-4141-A5A7-B3BD1319157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8" authorId="0" shapeId="0" xr:uid="{D1094F0C-BF25-4649-8990-0D0A32521FD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8" authorId="0" shapeId="0" xr:uid="{F5A02FEE-E06B-4F9C-A5C0-63326703402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9" authorId="0" shapeId="0" xr:uid="{BCA043BA-1AB8-4E5E-930B-B2FD84A8279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29" authorId="0" shapeId="0" xr:uid="{251C6322-F5A0-4421-ADFF-2EF3C8739C3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29" authorId="0" shapeId="0" xr:uid="{FE5BF364-3A3B-43BE-B733-F1C05FEDE96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29" authorId="0" shapeId="0" xr:uid="{C7439ADA-45A4-41AC-9CB4-D87080A803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0" authorId="0" shapeId="0" xr:uid="{E1DEEE08-6840-48D0-A9DC-7EFAE046C3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0" authorId="0" shapeId="0" xr:uid="{B50DC175-1B8C-44AE-853C-B2B8B34D583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0" authorId="0" shapeId="0" xr:uid="{398446EE-3183-4F61-A499-A4495F236DA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0" authorId="0" shapeId="0" xr:uid="{6E5E2752-71B1-45D1-994E-AA264F4CBB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1" authorId="0" shapeId="0" xr:uid="{B6B42783-94A0-4959-A413-5375F9F93F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1" authorId="0" shapeId="0" xr:uid="{D3C71327-0D95-4DE7-8301-5EE51B58EA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1" authorId="0" shapeId="0" xr:uid="{7A0B490B-7051-4DB7-B3FA-92296ED3E71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1" authorId="0" shapeId="0" xr:uid="{253EB123-BFD4-4B53-A744-8C36EF6019C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2" authorId="0" shapeId="0" xr:uid="{1B43D16A-9B38-4D7E-9A7F-3FBCAB9497B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2" authorId="0" shapeId="0" xr:uid="{CB189573-E8CA-4133-A72A-CA67B448448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2" authorId="0" shapeId="0" xr:uid="{CC7DB6F9-2CF4-4243-B745-AC95C644637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2" authorId="0" shapeId="0" xr:uid="{EFD24F75-B349-415F-B29F-97D6A48DCE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3" authorId="0" shapeId="0" xr:uid="{6F0968CB-293D-4ABC-B8A5-925A2D9887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3" authorId="0" shapeId="0" xr:uid="{583D9109-3B12-4D19-9707-A894E50BCF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3" authorId="0" shapeId="0" xr:uid="{8C5F9FCE-7670-466E-A319-3AF031DE309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3" authorId="0" shapeId="0" xr:uid="{F7428DA1-FC92-4543-8327-3DCF4891BD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4" authorId="0" shapeId="0" xr:uid="{C7758F21-4CA0-4588-935B-B8450D577D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4" authorId="0" shapeId="0" xr:uid="{E22CD3B7-8D23-4DC6-B0CF-CBFB5204495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4" authorId="0" shapeId="0" xr:uid="{062F8DF1-5CFF-4657-A734-0D5AFDC2C54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4" authorId="0" shapeId="0" xr:uid="{29FB713F-E029-4590-8BBD-B74C916D496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5" authorId="0" shapeId="0" xr:uid="{2AF9EE51-30F2-4149-A97B-7E409C20C53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5" authorId="0" shapeId="0" xr:uid="{191695F2-25E2-4F6F-B32D-F9C544BE04D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5" authorId="0" shapeId="0" xr:uid="{B1AD245D-7EEE-45D1-B722-9208BB53372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5" authorId="0" shapeId="0" xr:uid="{44E6C6F6-3DF7-4617-AC58-5DF1E6B535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6" authorId="0" shapeId="0" xr:uid="{BB04369D-77A7-4860-B810-4119F47CB66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6" authorId="0" shapeId="0" xr:uid="{18A81FBB-1994-454E-8F53-D8D12A4371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6" authorId="0" shapeId="0" xr:uid="{679B85AD-FD78-44A6-98D3-53FA59CC02F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6" authorId="0" shapeId="0" xr:uid="{37A3E2B3-C050-447E-AEE7-5BF937123F9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7" authorId="0" shapeId="0" xr:uid="{ED9851BC-D35E-43A0-8DDE-DDA271232D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7" authorId="0" shapeId="0" xr:uid="{5054FF66-2C7B-48D3-8AF7-5CF72DFABA1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7" authorId="0" shapeId="0" xr:uid="{3067DD5C-8F94-44D5-8206-992B91BC67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7" authorId="0" shapeId="0" xr:uid="{0ED2A070-1E1A-4167-896D-4EA9BF4026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8" authorId="0" shapeId="0" xr:uid="{10AA855A-D37E-4606-964A-F75DD800E06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8" authorId="0" shapeId="0" xr:uid="{13E9498E-B85A-4702-8AF5-13D8E256150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8" authorId="0" shapeId="0" xr:uid="{F60298D1-6E8D-485B-AFD9-6658E5ACC2F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8" authorId="0" shapeId="0" xr:uid="{BC9615CB-8F39-478E-B188-319151DACEA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39" authorId="0" shapeId="0" xr:uid="{B3F2FEA1-DCC4-4C2F-9EE7-34BE071CB1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39" authorId="0" shapeId="0" xr:uid="{F02A8A9F-A8CC-437C-AB8F-23B510B1650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39" authorId="0" shapeId="0" xr:uid="{94FEE48F-3821-4D67-A604-32A4351AF9C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39" authorId="0" shapeId="0" xr:uid="{26BD0978-E690-4752-9AD9-CE0C42683B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0" authorId="0" shapeId="0" xr:uid="{FFC5BA45-C03A-48F1-8140-246843D2FB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0" authorId="0" shapeId="0" xr:uid="{9E64F161-F21B-4644-9E81-BF43CD84DF1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0" authorId="0" shapeId="0" xr:uid="{27BC4B6D-280B-400D-ABE7-D505619F5DB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0" authorId="0" shapeId="0" xr:uid="{CE6953B2-4FDC-4221-8410-0D8EACF2F6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1" authorId="0" shapeId="0" xr:uid="{3EA9ECE6-9A4E-4BBC-986F-54393D8A69D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1" authorId="0" shapeId="0" xr:uid="{3772C26D-7B34-4946-90FB-6180FA3A0B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1" authorId="0" shapeId="0" xr:uid="{F4A20B45-8708-405B-95D2-D2633C8D0A2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1" authorId="0" shapeId="0" xr:uid="{713B9339-61AB-4A2F-A66C-A9F1E23033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2" authorId="0" shapeId="0" xr:uid="{9434D310-7BA8-43E1-8CBD-5F3037CB13C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2" authorId="0" shapeId="0" xr:uid="{8771BACC-914E-4072-A1C8-F0CA7BDC62F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2" authorId="0" shapeId="0" xr:uid="{8D0D9DF5-6644-453B-A842-0751AD5D3F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2" authorId="0" shapeId="0" xr:uid="{678673FF-95BE-4453-8E41-8EBD4BB2FB6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3" authorId="0" shapeId="0" xr:uid="{F317DEB1-5505-422B-B60C-FFA2A388FF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3" authorId="0" shapeId="0" xr:uid="{1B8D7E24-CAC4-4DEC-9EAA-C966D3B57C3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3" authorId="0" shapeId="0" xr:uid="{E196A9D1-B252-4C37-90B3-01E4CBD87A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3" authorId="0" shapeId="0" xr:uid="{E2C42E3E-69B7-4844-A7B1-55FBCA7784A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4" authorId="0" shapeId="0" xr:uid="{A50DCF39-9D74-425B-9819-7D2C359B990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4" authorId="0" shapeId="0" xr:uid="{A3ECCC5F-0D0A-42DE-8F4A-6C7A840269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4" authorId="0" shapeId="0" xr:uid="{155926D9-3385-4E2D-A294-BE34AACDF87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4" authorId="0" shapeId="0" xr:uid="{191E4921-761C-41BF-80A8-50A9EF885A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5" authorId="0" shapeId="0" xr:uid="{14D4F4AF-2DF2-4D7A-B8BE-C130E4F8BEC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5" authorId="0" shapeId="0" xr:uid="{5F174E3A-4B31-44CC-B26C-5460E93A8D9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5" authorId="0" shapeId="0" xr:uid="{3DB88523-01E1-4BC2-9B2E-61D54EA1DED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5" authorId="0" shapeId="0" xr:uid="{33E2709F-842A-4CEC-AF13-F0398843EE1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6" authorId="0" shapeId="0" xr:uid="{F5AFC89A-1144-45D7-BEAD-575E82D2ADC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6" authorId="0" shapeId="0" xr:uid="{B6C192F2-4606-4CF1-AD27-3D4CCF676C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6" authorId="0" shapeId="0" xr:uid="{4AFDEC9A-B6FB-4592-8A15-BF9E7547D8F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6" authorId="0" shapeId="0" xr:uid="{9DEFEAC6-4578-474A-80A7-96C22A273D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7" authorId="0" shapeId="0" xr:uid="{8CA7CBD1-E0CD-4A9D-93D1-3C7C295C39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7" authorId="0" shapeId="0" xr:uid="{83174DAA-E7B5-480B-B0E0-58C64D4BFC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7" authorId="0" shapeId="0" xr:uid="{E80D4FCA-80B5-4473-B218-7D8DD2F621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7" authorId="0" shapeId="0" xr:uid="{DD965043-9505-4D81-8497-F606EE03E43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8" authorId="0" shapeId="0" xr:uid="{F08821C5-8132-4B0F-BD78-88C9A6F8DA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8" authorId="0" shapeId="0" xr:uid="{210E5434-2293-4F15-B56C-8A20B8476F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8" authorId="0" shapeId="0" xr:uid="{2BCD7E48-0150-47BB-A4E9-EAF816BE073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8" authorId="0" shapeId="0" xr:uid="{23A53F38-9C51-4554-8C26-D5AF798B2A9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49" authorId="0" shapeId="0" xr:uid="{FB2BD999-2C00-45E2-881F-819FD6332F5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49" authorId="0" shapeId="0" xr:uid="{A7E7AD01-03B8-4234-B978-0218F951E6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49" authorId="0" shapeId="0" xr:uid="{53FD1CEB-8366-4837-9DF1-1AADAAF6020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49" authorId="0" shapeId="0" xr:uid="{55E92009-6A58-4712-9A76-A05B4D8F653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0" authorId="0" shapeId="0" xr:uid="{A7A69C2E-EF15-4D9B-AF52-C31F71CDE1D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0" authorId="0" shapeId="0" xr:uid="{4606F498-26F7-4492-9094-9023E8A99AC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0" authorId="0" shapeId="0" xr:uid="{B52FA4B7-9F72-4DD4-BDE4-3DAD0F63CB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0" authorId="0" shapeId="0" xr:uid="{CF30DB60-5ED2-48CB-B5F7-61891E5F9E4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1" authorId="0" shapeId="0" xr:uid="{DEACD421-1409-4876-BAD6-82FF7AEEC5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1" authorId="0" shapeId="0" xr:uid="{F7D6A31B-4BB3-42F8-B1CA-162C9EB3680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1" authorId="0" shapeId="0" xr:uid="{4C628FA3-1D82-4A10-95C6-30C19FD54B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1" authorId="0" shapeId="0" xr:uid="{7B7F1316-84CE-4B70-8564-E4822AE34B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2" authorId="0" shapeId="0" xr:uid="{BE8E3FEB-D356-4013-AD9D-9CDE3A1914E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2" authorId="0" shapeId="0" xr:uid="{801BEDCA-1F05-4791-A830-2AA38DF06AF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2" authorId="0" shapeId="0" xr:uid="{C3486A0C-46E5-45BD-9AA7-4056E5AED47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2" authorId="0" shapeId="0" xr:uid="{B3AFE1FA-CE4C-41FA-976D-FEF9D91B20B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3" authorId="0" shapeId="0" xr:uid="{090FAFA7-D908-4EC3-AE6F-4A1D2A9935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3" authorId="0" shapeId="0" xr:uid="{64853AA1-4399-46E2-9E2C-BDCC84F4DA0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3" authorId="0" shapeId="0" xr:uid="{CF3057E0-9300-406D-B515-C9667E104AD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3" authorId="0" shapeId="0" xr:uid="{972DF5DC-7684-4CB6-B13D-E33C62E1E9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4" authorId="0" shapeId="0" xr:uid="{1D45F760-9035-4BB7-A716-D9B6D07FA3E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4" authorId="0" shapeId="0" xr:uid="{66D372AB-479F-4B19-A988-29D756683A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4" authorId="0" shapeId="0" xr:uid="{AD5C7CC7-A9DF-483B-B6F7-AE146643C5D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4" authorId="0" shapeId="0" xr:uid="{7ACE25EB-59F6-45C8-B04F-4822C9670BD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5" authorId="0" shapeId="0" xr:uid="{C4E521CF-8F9F-4FAA-8888-E5D92A801F9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5" authorId="0" shapeId="0" xr:uid="{A34CAF94-1F0D-455D-8CAC-3F1D0CD5100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5" authorId="0" shapeId="0" xr:uid="{82EAA22B-8954-489D-A545-D5FE359BB0B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5" authorId="0" shapeId="0" xr:uid="{EF42CEBD-5EA8-4150-89BE-2310AAD1D5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6" authorId="0" shapeId="0" xr:uid="{9A56EB74-183C-4C55-9DF5-8B81AA1FACD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6" authorId="0" shapeId="0" xr:uid="{5C380A44-653B-48C3-9F6C-1DBD4318601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6" authorId="0" shapeId="0" xr:uid="{23F32AFD-2A24-45F9-8428-67762B4C092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6" authorId="0" shapeId="0" xr:uid="{37E4A802-745E-4ED0-A5BB-CC43CD4A343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7" authorId="0" shapeId="0" xr:uid="{D48CB9F0-D59D-4D8F-8AB9-72074CA4299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7" authorId="0" shapeId="0" xr:uid="{335348A0-7997-480E-93A1-31C88DBA704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7" authorId="0" shapeId="0" xr:uid="{4CCF9914-C8C7-4DEB-A983-F2346443D8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7" authorId="0" shapeId="0" xr:uid="{30B4F816-488A-4D2A-8BC9-56FA7836E1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8" authorId="0" shapeId="0" xr:uid="{946C89B1-F5B0-4BE0-8FE0-36229E4F23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8" authorId="0" shapeId="0" xr:uid="{D23AAD28-41B8-4F2C-ADBB-371683F793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8" authorId="0" shapeId="0" xr:uid="{417837C7-F9B7-47A5-B685-C4A5FCB7214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8" authorId="0" shapeId="0" xr:uid="{8AD981EF-7D47-429C-97E5-1073595A92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59" authorId="0" shapeId="0" xr:uid="{B2CB2EDF-0DCD-453B-ADB1-1F1BEC4D306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59" authorId="0" shapeId="0" xr:uid="{B28B59EF-ACAE-41BC-9E0F-08EF2F23B8E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59" authorId="0" shapeId="0" xr:uid="{0C6C1C01-191A-49A4-92BA-77AF1D58E4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59" authorId="0" shapeId="0" xr:uid="{B2F6F0BE-E383-4573-96D5-23640268797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0" authorId="0" shapeId="0" xr:uid="{20E36F33-2384-4022-925C-00103CED818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0" authorId="0" shapeId="0" xr:uid="{2BD1155B-A0FA-4F93-ADC3-C2EE3E4C2C1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0" authorId="0" shapeId="0" xr:uid="{78F96481-C183-486D-AF1C-32ACA33AEB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0" authorId="0" shapeId="0" xr:uid="{575824B1-0620-4B60-9F5B-566EB9AD665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1" authorId="0" shapeId="0" xr:uid="{147E07EC-286B-428A-9557-30EA19A9D0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1" authorId="0" shapeId="0" xr:uid="{93065262-3848-45FA-9326-3BFB442850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1" authorId="0" shapeId="0" xr:uid="{664449CE-CBF0-46C7-B008-2A1A4F37A8D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1" authorId="0" shapeId="0" xr:uid="{CDACDECF-6C17-4959-A5C8-41050F1172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2" authorId="0" shapeId="0" xr:uid="{176FC529-D3FF-4B86-8823-9DB0CE95563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2" authorId="0" shapeId="0" xr:uid="{AF87F0E5-6F39-4DD1-A3EB-DE19CD8287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2" authorId="0" shapeId="0" xr:uid="{D922E515-BC3F-4DCA-95C1-E2CEED6B7A0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2" authorId="0" shapeId="0" xr:uid="{8C85B03C-0F3C-43B4-AB28-DA3E808EF0D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3" authorId="0" shapeId="0" xr:uid="{990460EF-F6D1-48EE-82DC-4B65785686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3" authorId="0" shapeId="0" xr:uid="{1DCDD02D-D298-440B-BA03-02D0835184D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3" authorId="0" shapeId="0" xr:uid="{7B5F158E-B44E-4215-AA0C-7C157B7783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3" authorId="0" shapeId="0" xr:uid="{29F222A1-704D-4F76-AAEE-23CAA57E1D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4" authorId="0" shapeId="0" xr:uid="{E320B202-A6A8-4047-8F48-F8EFD0A050D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4" authorId="0" shapeId="0" xr:uid="{C72B8470-D650-4BB0-9A2D-FB92200B44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4" authorId="0" shapeId="0" xr:uid="{E13909B8-AB1E-4431-AD6D-A9E7EF58B4A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4" authorId="0" shapeId="0" xr:uid="{FD10BB6C-3F5D-49C1-A733-D85270FA1C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5" authorId="0" shapeId="0" xr:uid="{084C315F-4648-43EC-8B64-1DF5F74A624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5" authorId="0" shapeId="0" xr:uid="{78AEFD95-883E-420C-92AC-A0DAAF6D651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5" authorId="0" shapeId="0" xr:uid="{6C1F0D33-947A-4114-94BD-7EB6E8CB36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5" authorId="0" shapeId="0" xr:uid="{D073C122-CEBB-4AA7-AC4D-0629BD87F91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6" authorId="0" shapeId="0" xr:uid="{32492BF7-211C-490F-8D66-62D64E0819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6" authorId="0" shapeId="0" xr:uid="{19ECEE7E-A6BA-47EF-AED5-56B42D72BE5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6" authorId="0" shapeId="0" xr:uid="{E31A8571-10E0-4146-9560-EC5C3EA9FA1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6" authorId="0" shapeId="0" xr:uid="{4EEE19A0-D5D1-4B17-8C93-5472D90250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7" authorId="0" shapeId="0" xr:uid="{D677C2BF-A9AF-405B-BDD2-96036D1FA7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7" authorId="0" shapeId="0" xr:uid="{FA1411C5-CD96-414A-B131-5D496E4D977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7" authorId="0" shapeId="0" xr:uid="{FAF0762F-2B90-48D6-8DC8-675CF7B4852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7" authorId="0" shapeId="0" xr:uid="{5A31EECF-DB7A-488C-AFE8-0AF809B27B2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8" authorId="0" shapeId="0" xr:uid="{6DB30C2F-20D8-4194-BF67-2484EE723A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8" authorId="0" shapeId="0" xr:uid="{72CD90DD-8C15-484C-9E5C-4976AF13174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8" authorId="0" shapeId="0" xr:uid="{FF187470-3192-45E8-BC48-7E54463440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8" authorId="0" shapeId="0" xr:uid="{029CEE7A-BD0D-4433-B2A2-08675B7965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69" authorId="0" shapeId="0" xr:uid="{7BCB3556-AD54-42EF-8898-C6C150A0B42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69" authorId="0" shapeId="0" xr:uid="{B34050B0-4161-45A7-9C71-A2EFB583D3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69" authorId="0" shapeId="0" xr:uid="{85649072-15F3-4B1B-8835-C97BF5F26FC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69" authorId="0" shapeId="0" xr:uid="{64FE8445-E5C2-4B61-9176-37B6BA688F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0" authorId="0" shapeId="0" xr:uid="{17D320D9-105B-4CBA-8FAD-7BE8B9861E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0" authorId="0" shapeId="0" xr:uid="{CC9EC95C-38A7-43D7-9A7E-0C20EA934F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0" authorId="0" shapeId="0" xr:uid="{C1F7A331-04C1-4BB5-B438-2E8B18F689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0" authorId="0" shapeId="0" xr:uid="{D68E8700-ED90-44D9-B575-6DBF3A05D45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1" authorId="0" shapeId="0" xr:uid="{6CF19C9C-CAE5-48A5-8846-789EF30B0A9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1" authorId="0" shapeId="0" xr:uid="{7A71EE57-AA2E-4BFA-BCD2-8094571136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1" authorId="0" shapeId="0" xr:uid="{85A120DF-54DB-4C08-A504-E8DD13B306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1" authorId="0" shapeId="0" xr:uid="{299E6BF7-D4CA-4FBE-A0A1-12D90C78105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2" authorId="0" shapeId="0" xr:uid="{9BA636FD-9881-4D85-AAEA-3167F3B746F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2" authorId="0" shapeId="0" xr:uid="{2DB7BD83-EC0F-4735-8DA7-2495131CC9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2" authorId="0" shapeId="0" xr:uid="{557F3206-D6FE-4549-8ACA-8407CF0D07D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2" authorId="0" shapeId="0" xr:uid="{968BD11D-7249-41AD-9AF0-359EDFBB736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3" authorId="0" shapeId="0" xr:uid="{1A6BB79F-778A-43EF-81A3-F7AB9A10E5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3" authorId="0" shapeId="0" xr:uid="{9A479FBC-9B6B-44F5-909C-A59B5943E4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3" authorId="0" shapeId="0" xr:uid="{A621881D-D331-4AF7-932B-DE9D26CD15B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3" authorId="0" shapeId="0" xr:uid="{DFF31C1D-60FC-44D2-AD76-7843D8535A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4" authorId="0" shapeId="0" xr:uid="{E0926573-AA81-4353-A758-1E7AE5109DE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4" authorId="0" shapeId="0" xr:uid="{2E5632A9-4289-4F35-8662-5782C3DFEB3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4" authorId="0" shapeId="0" xr:uid="{3AEC7662-9A80-4250-ABD1-43693F7E74C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4" authorId="0" shapeId="0" xr:uid="{75DD75A5-BC25-4D96-A6B1-472D2C7941B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5" authorId="0" shapeId="0" xr:uid="{659BA502-8370-4750-A8CD-9D8D4E3A01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5" authorId="0" shapeId="0" xr:uid="{BE703774-BE95-46F0-9E29-32CBF44855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5" authorId="0" shapeId="0" xr:uid="{679BAB23-5A00-4F47-A9F1-52DD297335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5" authorId="0" shapeId="0" xr:uid="{A05BF80D-C31A-4C1C-9AA6-4874BC887C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6" authorId="0" shapeId="0" xr:uid="{0BC5D4E9-D89A-4922-A993-E558DBB62F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6" authorId="0" shapeId="0" xr:uid="{1B209634-8703-44E3-82F6-A0C7DF40D10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6" authorId="0" shapeId="0" xr:uid="{F94CF763-3032-4AF7-BD79-CE22C505BCC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6" authorId="0" shapeId="0" xr:uid="{03579392-9E4A-4F39-AC9E-AAFCB41D070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7" authorId="0" shapeId="0" xr:uid="{4414D118-4B9E-4E8F-AC77-390B7D3BB6A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7" authorId="0" shapeId="0" xr:uid="{4FE51F6F-6199-4B37-B460-65C40B4B4E5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7" authorId="0" shapeId="0" xr:uid="{06B9D8BC-254D-4B17-B6F5-E290F4692C6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7" authorId="0" shapeId="0" xr:uid="{361EC5CD-A729-4F61-BAFC-DE74FF712BB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8" authorId="0" shapeId="0" xr:uid="{228EEC20-5168-4D7B-B6B9-89FADB46487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8" authorId="0" shapeId="0" xr:uid="{4D13CFF1-021A-4BE0-89B3-C4D70B2A34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8" authorId="0" shapeId="0" xr:uid="{4CB88C22-1F01-43FB-9C2B-4294E496128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8" authorId="0" shapeId="0" xr:uid="{41BE5D33-7DA6-43A1-A215-B7AF28C84DF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79" authorId="0" shapeId="0" xr:uid="{27D28162-89F9-400E-BFE0-B465A5C776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79" authorId="0" shapeId="0" xr:uid="{A8ED9EBC-F51B-4643-8840-9911214F0CD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79" authorId="0" shapeId="0" xr:uid="{6609BF59-5994-4EFA-AA0A-5A3123F6C2C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79" authorId="0" shapeId="0" xr:uid="{ACE3BE41-ECEE-4872-A376-46ED892DD8A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0" authorId="0" shapeId="0" xr:uid="{8C2FC634-D235-4452-BF08-64DA42C530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0" authorId="0" shapeId="0" xr:uid="{0DF61C0C-09B0-483E-9A91-12FF1D84EE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0" authorId="0" shapeId="0" xr:uid="{E48444E3-AF77-4FE5-9FC5-A7B34A5AD5E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0" authorId="0" shapeId="0" xr:uid="{88631253-C235-4835-BAA7-068EF3B3594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1" authorId="0" shapeId="0" xr:uid="{A08BEDA6-3702-48A2-B6EC-A04AFC0526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1" authorId="0" shapeId="0" xr:uid="{6AF5DD82-6CE8-4474-B584-1221497E970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1" authorId="0" shapeId="0" xr:uid="{6EB7772F-A479-47E4-BFC7-BC5908E27C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1" authorId="0" shapeId="0" xr:uid="{628AE3E0-F5DA-4E96-BEC1-612AF7C7114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2" authorId="0" shapeId="0" xr:uid="{3511F562-E01B-42BF-BF0B-AD746C4F347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2" authorId="0" shapeId="0" xr:uid="{65BDB57A-8553-4487-8FEF-468EC3612A1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2" authorId="0" shapeId="0" xr:uid="{52DA3858-3712-4669-93DA-97DEAE4BA61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2" authorId="0" shapeId="0" xr:uid="{0237DC8B-5165-4CE1-A832-DF280A190BA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3" authorId="0" shapeId="0" xr:uid="{2C3D3F4F-4389-48F5-84D6-99505E05A4D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3" authorId="0" shapeId="0" xr:uid="{A529F89E-5D67-463A-AE03-E1A9971CB5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3" authorId="0" shapeId="0" xr:uid="{B0E05796-1208-4FE2-B18D-1440F012C4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3" authorId="0" shapeId="0" xr:uid="{6E1EFBD3-65E6-4B3B-8194-44A9FC540B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4" authorId="0" shapeId="0" xr:uid="{7491166C-C4AD-4EAB-A594-7C3450337F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4" authorId="0" shapeId="0" xr:uid="{5BDBB008-CEF5-4D1F-AF83-7A30EEEC6F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4" authorId="0" shapeId="0" xr:uid="{2F8EDFA1-A27A-43AD-83CA-2C115565DF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4" authorId="0" shapeId="0" xr:uid="{8D7ADB1E-FF3E-46AC-94FC-1AAE47C53B5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5" authorId="0" shapeId="0" xr:uid="{BD1B6ED4-7D4C-4326-8610-21875830FB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5" authorId="0" shapeId="0" xr:uid="{83200088-E090-4AA6-A6D7-D542F97FC9F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5" authorId="0" shapeId="0" xr:uid="{6F32A05F-6C2F-4C55-A91C-98D3502E20F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5" authorId="0" shapeId="0" xr:uid="{CD54F11A-3838-4E46-A540-F261A7EE732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6" authorId="0" shapeId="0" xr:uid="{822CD83C-3532-487B-9681-1D15EB8D14D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6" authorId="0" shapeId="0" xr:uid="{7D874E25-EC04-4DF5-B1AF-5BF0631E228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6" authorId="0" shapeId="0" xr:uid="{A8CCBFDE-36C1-4492-A37C-97F5F481002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6" authorId="0" shapeId="0" xr:uid="{34C2639B-07B5-4402-9567-502858D6D39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7" authorId="0" shapeId="0" xr:uid="{ECEB8955-3E89-4F8F-8F4F-A8992FABA0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7" authorId="0" shapeId="0" xr:uid="{8CB3185B-E92F-4975-B270-4862F6BD45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7" authorId="0" shapeId="0" xr:uid="{11D41768-7936-494C-A120-EEEEBB8D1A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7" authorId="0" shapeId="0" xr:uid="{3F2B0767-0D00-4F06-876E-F5BC006673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8" authorId="0" shapeId="0" xr:uid="{01703CB0-BCFD-4DF4-9538-4A2B276EA98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8" authorId="0" shapeId="0" xr:uid="{AAE20F3C-B034-4D6C-B7A0-DECFD73B0D1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8" authorId="0" shapeId="0" xr:uid="{3DCAB0CD-158C-4398-A126-A282364B362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8" authorId="0" shapeId="0" xr:uid="{0C74F3E2-4F6F-4767-BEC7-C0670CB453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89" authorId="0" shapeId="0" xr:uid="{5E5C8391-141E-4DA8-84BE-E0897985EDC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89" authorId="0" shapeId="0" xr:uid="{E41453E9-2376-40FE-979D-45663A63D0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89" authorId="0" shapeId="0" xr:uid="{7F0B40C6-C9DC-45B2-BB25-425B529349F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89" authorId="0" shapeId="0" xr:uid="{E685B918-7D38-4DFA-8C4A-1C39F1D7E89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90" authorId="0" shapeId="0" xr:uid="{78E36692-7F6A-4EAE-84E8-FB00A4AC085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90" authorId="0" shapeId="0" xr:uid="{F7359731-C97E-46A2-8931-060FFC12381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90" authorId="0" shapeId="0" xr:uid="{BE658384-01FB-4F96-81E3-A980731BEE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90" authorId="0" shapeId="0" xr:uid="{FFF68FB6-D596-4599-968E-C232BBAD7FE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91" authorId="0" shapeId="0" xr:uid="{93121EA6-4B7B-422B-ACEA-9C7C4D42B54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first yr sow date was delayed (16/6/23) due to project start date.</t>
        </r>
      </text>
    </comment>
    <comment ref="G91" authorId="0" shapeId="0" xr:uid="{A66A410C-05D4-4A00-B498-352B6A644E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Sown late then a wet Jul and Aug.</t>
        </r>
      </text>
    </comment>
    <comment ref="H91" authorId="0" shapeId="0" xr:uid="{8E166A25-55E9-48D0-A5F9-9EA37D3F4DB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1</t>
        </r>
      </text>
    </comment>
    <comment ref="I91" authorId="0" shapeId="0" xr:uid="{C00B6AE8-2D87-4FA7-841D-AF96AEFB369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92" authorId="0" shapeId="0" xr:uid="{50ECC74A-9B96-4B67-AAC9-5276C14670A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2" authorId="0" shapeId="0" xr:uid="{0FDAA8D3-21E1-479A-93B2-B4880FEE4F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2" authorId="0" shapeId="0" xr:uid="{B0465752-B774-4B97-ADA8-60AD909D49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2" authorId="0" shapeId="0" xr:uid="{23B0BEE3-E017-4DD1-B683-5A4546D6693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3" authorId="0" shapeId="0" xr:uid="{F71305E8-9309-4CAF-A236-66D45D681C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3" authorId="0" shapeId="0" xr:uid="{9C5E4D33-F0F9-4FCA-BEF3-1691A5CE777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3" authorId="0" shapeId="0" xr:uid="{3B550CCB-13CA-4BCF-B65D-5B9BEB1393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3" authorId="0" shapeId="0" xr:uid="{E6E5CB39-DC95-4323-A8CC-6363C9981E7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4" authorId="0" shapeId="0" xr:uid="{584168F0-D26A-447C-92FB-FF7286408D9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4" authorId="0" shapeId="0" xr:uid="{7C417018-696F-4355-8AAB-2D64115B398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4" authorId="0" shapeId="0" xr:uid="{E5038D62-55EC-4351-9F85-16269D5F20F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4" authorId="0" shapeId="0" xr:uid="{299F2EC6-DD33-4F5B-9890-64B4E860AC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5" authorId="0" shapeId="0" xr:uid="{75A3C21B-F0DD-4CA6-B5A7-CB123D10AD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5" authorId="0" shapeId="0" xr:uid="{1C466280-5C34-43D1-A45D-DB9155825AE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5" authorId="0" shapeId="0" xr:uid="{4BD009C1-73A7-41D0-8C5A-AF7D64E205B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5" authorId="0" shapeId="0" xr:uid="{45D1D555-CF48-4889-AACE-CD20233EC6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6" authorId="0" shapeId="0" xr:uid="{F6744615-1494-4A83-A5D1-DD296B9D92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6" authorId="0" shapeId="0" xr:uid="{C490D3AD-998C-4158-B9C4-E3496154452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6" authorId="0" shapeId="0" xr:uid="{9FD4747C-778B-4691-A932-B47F1A209F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6" authorId="0" shapeId="0" xr:uid="{38CE6A60-EBF9-481F-946D-545B7653E83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7" authorId="0" shapeId="0" xr:uid="{1378EF18-1D91-47A4-83CE-C9639013F27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7" authorId="0" shapeId="0" xr:uid="{A3BE27EF-A9B0-4C6D-ADC6-66D1B9AAFB2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7" authorId="0" shapeId="0" xr:uid="{34941509-C21C-4B1C-AA75-755BD8763C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7" authorId="0" shapeId="0" xr:uid="{396DC6B7-59B2-407B-A5E8-3659B30F32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8" authorId="0" shapeId="0" xr:uid="{2BF4B911-E46D-41CC-8147-F9AB6B2758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8" authorId="0" shapeId="0" xr:uid="{50228E89-187F-47E7-B419-F8F14EEA73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8" authorId="0" shapeId="0" xr:uid="{D534CB02-05EC-4C84-A59E-8D7189494F3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8" authorId="0" shapeId="0" xr:uid="{711777FD-3622-41E5-94A6-B3E3506B38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99" authorId="0" shapeId="0" xr:uid="{57F63125-5B5A-412F-B8E2-526CC97B710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99" authorId="0" shapeId="0" xr:uid="{21818957-F53F-4BC6-9DFF-0E22849F15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99" authorId="0" shapeId="0" xr:uid="{6AE7C905-5C5D-4BD3-86FD-6677EA921EA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99" authorId="0" shapeId="0" xr:uid="{E7CBE1B1-C1F0-49B2-9AC0-832FA57515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0" authorId="0" shapeId="0" xr:uid="{CEAF6A94-10F4-4E3B-A4F2-AA0F4C563F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0" authorId="0" shapeId="0" xr:uid="{4071BB32-DEC9-4A25-81AC-9BED6AA03D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0" authorId="0" shapeId="0" xr:uid="{4AA82402-2523-4DE6-9577-AAD4A0E5797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0" authorId="0" shapeId="0" xr:uid="{27953D6D-E9E0-4517-BF3E-E49F6CC1484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1" authorId="0" shapeId="0" xr:uid="{1DCC9921-9477-4514-83CD-E394BB76641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1" authorId="0" shapeId="0" xr:uid="{5F0EFA7C-4DD4-4170-9117-CCED95E59AE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1" authorId="0" shapeId="0" xr:uid="{B4BF246A-1C80-4568-B89A-CD67A33C22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1" authorId="0" shapeId="0" xr:uid="{783D3ACC-5CB9-44F8-9CCA-86CE8AEAC36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2" authorId="0" shapeId="0" xr:uid="{ED98505B-05FD-4AB5-A135-A6276DA6ACC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2" authorId="0" shapeId="0" xr:uid="{CC2748EF-AB95-49C5-B448-F4D658C4E7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2" authorId="0" shapeId="0" xr:uid="{412CD997-AD35-4A0A-971E-3FBBA46425C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2" authorId="0" shapeId="0" xr:uid="{A8413473-CC0A-4BF2-A5AC-56A73B353C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3" authorId="0" shapeId="0" xr:uid="{A5482599-E8C2-4402-89B7-ADBDA6F8940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3" authorId="0" shapeId="0" xr:uid="{D08570CA-F25C-4676-96D3-E6B1A61735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3" authorId="0" shapeId="0" xr:uid="{214C332A-DB2C-413A-9C79-1545E8647A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3" authorId="0" shapeId="0" xr:uid="{2563BE81-76A6-4469-B03F-8885649E83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4" authorId="0" shapeId="0" xr:uid="{35251108-F03D-4B0D-A15F-CCDBCC3D021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4" authorId="0" shapeId="0" xr:uid="{8B9AB8B1-C492-48E7-8B3B-9CBB259564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4" authorId="0" shapeId="0" xr:uid="{E71D5DB4-563A-4A64-9F89-C1B5A91959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4" authorId="0" shapeId="0" xr:uid="{27809021-C14B-42C4-A135-583041220DD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5" authorId="0" shapeId="0" xr:uid="{9ECD1643-27B4-416F-805F-D8EAE64942F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5" authorId="0" shapeId="0" xr:uid="{6FBB1494-0CCD-47FB-BE51-F5A28378A5B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5" authorId="0" shapeId="0" xr:uid="{9F4F7619-E11B-4222-BBFB-432A0F2CD8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5" authorId="0" shapeId="0" xr:uid="{328EDF24-CC80-4D6B-9A05-0494DA2AD0D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6" authorId="0" shapeId="0" xr:uid="{C3D42D38-8440-44D6-8F18-2957870DDB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6" authorId="0" shapeId="0" xr:uid="{18DD9F3C-236D-41FA-B607-01CCC1F9FA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6" authorId="0" shapeId="0" xr:uid="{26EEE964-68C8-4618-88E1-D4884409EAB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6" authorId="0" shapeId="0" xr:uid="{6E539A47-F33E-434E-A970-41430A4C605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7" authorId="0" shapeId="0" xr:uid="{7636A848-9825-44EE-BB50-904B8080036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7" authorId="0" shapeId="0" xr:uid="{0D0A2046-5572-4969-89D8-1F4801799C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7" authorId="0" shapeId="0" xr:uid="{058237AE-675A-4066-ADF7-05C4E74E870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7" authorId="0" shapeId="0" xr:uid="{0D8DCACC-3C24-480A-9938-B39FF8AE6A7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8" authorId="0" shapeId="0" xr:uid="{3F798AD3-3B76-4855-8209-8AE201F69C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8" authorId="0" shapeId="0" xr:uid="{376B2CF8-27C3-42C7-A527-057D1616AA6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8" authorId="0" shapeId="0" xr:uid="{96A24F7E-6F15-4F94-A91A-036FFA84E8A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8" authorId="0" shapeId="0" xr:uid="{7B855403-ADF8-485D-8637-184E7E8D8C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09" authorId="0" shapeId="0" xr:uid="{A64C3B6A-0C27-4EC0-94D5-51C82096E63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09" authorId="0" shapeId="0" xr:uid="{8AC60478-7E72-4604-A584-CD98804C77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09" authorId="0" shapeId="0" xr:uid="{9F3AB3C0-BDA3-4567-A9A4-B5AE286E001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09" authorId="0" shapeId="0" xr:uid="{FCA216B2-DC1F-4E54-9325-C84035E7229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0" authorId="0" shapeId="0" xr:uid="{7FF63DC6-A62B-4E26-9749-570FAF58CCF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0" authorId="0" shapeId="0" xr:uid="{7E492AB2-D97B-498B-B412-9B5B856105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0" authorId="0" shapeId="0" xr:uid="{AE8A983A-DD0C-4F42-A9A0-89DE11FB45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0" authorId="0" shapeId="0" xr:uid="{0621BA26-C858-4B41-AD3C-C259A160DC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1" authorId="0" shapeId="0" xr:uid="{5C7B9CAA-1775-419F-AB06-63B0D280F1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1" authorId="0" shapeId="0" xr:uid="{B6E3C260-5EDE-42C9-B88D-C5993C88043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1" authorId="0" shapeId="0" xr:uid="{B0B26CEF-8074-476E-B838-E086ECF5885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1" authorId="0" shapeId="0" xr:uid="{9C604CE1-C462-4D1F-83D4-D8D3A5CF2E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2" authorId="0" shapeId="0" xr:uid="{92A4B7FE-BFA3-48A6-8E9A-36774C30B95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2" authorId="0" shapeId="0" xr:uid="{ED48F1A8-B676-4A6A-8E13-F3E7E3BF62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2" authorId="0" shapeId="0" xr:uid="{6342F5FF-6944-426D-84E0-FD8B7A4FFEE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2" authorId="0" shapeId="0" xr:uid="{A0893829-1470-4A11-9AF2-72FDE0CF50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3" authorId="0" shapeId="0" xr:uid="{2073137A-FC8C-44FE-827C-72C68C7BE9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3" authorId="0" shapeId="0" xr:uid="{C926E029-9166-4CD3-8B3A-5A09E6F05B6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3" authorId="0" shapeId="0" xr:uid="{9287F65C-EE13-4FA0-A5C6-A417DFE8FB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3" authorId="0" shapeId="0" xr:uid="{AF0A284E-866C-4D94-893D-B04A044C323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4" authorId="0" shapeId="0" xr:uid="{BD580768-E380-485D-901A-D7042B3F27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4" authorId="0" shapeId="0" xr:uid="{AAE55F3F-CE73-44BB-9118-6BFA3C77591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4" authorId="0" shapeId="0" xr:uid="{2E3DD517-C6F4-4222-9898-44D57BEA03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4" authorId="0" shapeId="0" xr:uid="{1F715B29-8E03-4846-9E7F-E9FB550985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5" authorId="0" shapeId="0" xr:uid="{0747ABD6-A52F-4B8F-9E7E-0BA44371FA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5" authorId="0" shapeId="0" xr:uid="{1FEAF03F-33DA-414E-AC2E-5984115B577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5" authorId="0" shapeId="0" xr:uid="{C66F79E3-06F7-49F5-A616-7375F2C9347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5" authorId="0" shapeId="0" xr:uid="{0B7DC63C-922F-4F08-9566-F92BC735C4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6" authorId="0" shapeId="0" xr:uid="{3891C1D3-F05F-4692-A97D-7FEEBB1909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6" authorId="0" shapeId="0" xr:uid="{50C64857-45AD-4E25-8368-6E925EE0F6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6" authorId="0" shapeId="0" xr:uid="{62FAC8CF-E447-41C5-A3D2-5EFD286A91A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6" authorId="0" shapeId="0" xr:uid="{3A86F314-7258-416F-80D6-5B37B804708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7" authorId="0" shapeId="0" xr:uid="{45A2C9EB-317A-4AA8-AD4C-FDBBD2A257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7" authorId="0" shapeId="0" xr:uid="{29115B12-FF60-4BC7-B2E9-A49A2631A38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7" authorId="0" shapeId="0" xr:uid="{D9F6C2B9-D737-42F9-8E46-5BA4A6B40E4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7" authorId="0" shapeId="0" xr:uid="{6D8DA850-6E73-4844-B968-0BB522BAF5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8" authorId="0" shapeId="0" xr:uid="{BC7AD4FD-A372-452E-B588-CDB83C6658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8" authorId="0" shapeId="0" xr:uid="{D2839D47-477D-46DA-AC5B-A1343EE4A3D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8" authorId="0" shapeId="0" xr:uid="{F6291834-65ED-4B63-AD09-68916CC8E84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8" authorId="0" shapeId="0" xr:uid="{C00AE515-5E01-4DF9-A47E-68C35F21B39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19" authorId="0" shapeId="0" xr:uid="{71E17CC9-CE8F-461A-8150-6FA5606EDA5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19" authorId="0" shapeId="0" xr:uid="{7FCAAD14-7D74-4D87-B369-F4EFC5CCD4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19" authorId="0" shapeId="0" xr:uid="{2D634FFC-CD99-4256-8DF4-050A13F3949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19" authorId="0" shapeId="0" xr:uid="{E7D19B60-B7BD-4A2C-9B50-CF1F0327DBA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0" authorId="0" shapeId="0" xr:uid="{81A88279-BCE4-47A2-9628-EAC3E75BB9A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0" authorId="0" shapeId="0" xr:uid="{02190BF5-6BF3-4880-A01F-8799A23B94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0" authorId="0" shapeId="0" xr:uid="{07D04E0A-B16D-4B21-9297-9938BA9A0D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0" authorId="0" shapeId="0" xr:uid="{B74D9CE2-613D-41A4-869F-A1BF4C31198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1" authorId="0" shapeId="0" xr:uid="{907A8A4A-2504-4C33-84C8-C51ECCBA1D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1" authorId="0" shapeId="0" xr:uid="{26309889-9E29-4C45-BDBB-1322BC8A18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1" authorId="0" shapeId="0" xr:uid="{5FAFF59D-7D96-4B40-82B3-C8986A5B92E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1" authorId="0" shapeId="0" xr:uid="{CAC3CADF-A5F5-4765-B860-97787280F1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2" authorId="0" shapeId="0" xr:uid="{6D54D5E8-19D7-4EA0-A574-36F5436ADEF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2" authorId="0" shapeId="0" xr:uid="{0580B49B-6EC8-46EE-8AB6-0DACAF7F77E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2" authorId="0" shapeId="0" xr:uid="{3E55C5DE-4C23-40FC-9D90-5101B1AA675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2" authorId="0" shapeId="0" xr:uid="{0F5F8489-656E-4F7F-98C7-E7B51F6E445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3" authorId="0" shapeId="0" xr:uid="{04D26250-CACA-4D47-AFFD-E816E9C2F7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3" authorId="0" shapeId="0" xr:uid="{92D61935-BB80-496E-BBEE-3E96C4EC5BA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3" authorId="0" shapeId="0" xr:uid="{61D72817-56C4-4B2E-93BA-676B9024D9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3" authorId="0" shapeId="0" xr:uid="{8AA2F73D-6A0F-4A7B-A0F4-CB9F2A58736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4" authorId="0" shapeId="0" xr:uid="{DC6E5F4A-D8DE-4710-9544-7E47F00B43E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4" authorId="0" shapeId="0" xr:uid="{8E5F3F80-BB65-4396-B84B-F1258ACACF9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4" authorId="0" shapeId="0" xr:uid="{5502EB1E-20BF-4A8B-B13B-74864603E81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4" authorId="0" shapeId="0" xr:uid="{37B18315-46A1-4841-B76E-0CD4A1ECD98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5" authorId="0" shapeId="0" xr:uid="{030F3A3B-DA9F-462B-B8C2-B76D6C3B26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5" authorId="0" shapeId="0" xr:uid="{B11E3E16-B3F5-4921-8AE6-B443E76327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5" authorId="0" shapeId="0" xr:uid="{3EFAC4BE-A68B-4205-AEB6-7DEBC2B676D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5" authorId="0" shapeId="0" xr:uid="{6895C22B-03FD-44C0-993F-66E690192B9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6" authorId="0" shapeId="0" xr:uid="{BC7FAE8C-A97F-4EEB-AA1A-A45ED309E1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6" authorId="0" shapeId="0" xr:uid="{91600365-E332-4841-A367-47144B7F407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6" authorId="0" shapeId="0" xr:uid="{20861A6C-B6FA-4D92-AE73-A11D6B1A7B6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6" authorId="0" shapeId="0" xr:uid="{835952EB-CD8C-446B-A672-4738D65F7E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7" authorId="0" shapeId="0" xr:uid="{9A9FCD18-1A3B-4EC0-8C92-7CA103A28A1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7" authorId="0" shapeId="0" xr:uid="{2A2FB16E-D559-4B16-A8F7-C783E4CC48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7" authorId="0" shapeId="0" xr:uid="{C4CC0012-46B7-4E92-95C2-7EC428CB6AF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7" authorId="0" shapeId="0" xr:uid="{298D56D6-B3A7-4703-A5DE-7E2C5FA035E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8" authorId="0" shapeId="0" xr:uid="{FB0F81BD-60E4-43C3-A630-FC412D5F70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8" authorId="0" shapeId="0" xr:uid="{8E4ED3C2-642C-4B04-A8C5-0F4E200E82A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8" authorId="0" shapeId="0" xr:uid="{7DBB69E3-78C6-4DFB-8767-64B44A43A7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8" authorId="0" shapeId="0" xr:uid="{CDF04A7E-E08F-4F17-9B2F-49AB685E3AE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29" authorId="0" shapeId="0" xr:uid="{7FEBDED0-D761-41B4-95A5-68A05299BB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29" authorId="0" shapeId="0" xr:uid="{179E06EC-184B-4E85-915A-C499A188597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29" authorId="0" shapeId="0" xr:uid="{D50D1422-B314-4816-BDFA-0F3E61ED4F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29" authorId="0" shapeId="0" xr:uid="{885A17AC-7BD3-4729-B24D-A3ED49774A7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0" authorId="0" shapeId="0" xr:uid="{6927C9BF-7624-4237-A2D4-7E991321EEF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0" authorId="0" shapeId="0" xr:uid="{5BCA1571-CB62-434C-A8AC-DC84737843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0" authorId="0" shapeId="0" xr:uid="{8E00CF9A-5E4C-40A1-BA20-8C3F2303860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0" authorId="0" shapeId="0" xr:uid="{ED22868F-21FF-48C2-AB24-562697DCB64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1" authorId="0" shapeId="0" xr:uid="{C1B74A09-BAEF-4571-BD03-1CDB24842E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1" authorId="0" shapeId="0" xr:uid="{C141A5CD-82CE-4DD0-8056-0D769D1A12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1" authorId="0" shapeId="0" xr:uid="{35717C43-3A2F-4459-8B4B-F2073B901E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1" authorId="0" shapeId="0" xr:uid="{AF326450-5E59-4555-81EE-D92FC9FE2EC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2" authorId="0" shapeId="0" xr:uid="{FB5DA15B-EDD1-45D5-A470-08948D68B4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2" authorId="0" shapeId="0" xr:uid="{0591B192-8B93-43DE-AF39-F62526824DC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2" authorId="0" shapeId="0" xr:uid="{EA5E6532-3BC8-43E0-8B80-376834D39CD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2" authorId="0" shapeId="0" xr:uid="{C9A1B705-7FE4-43B7-B187-02A2C65115F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3" authorId="0" shapeId="0" xr:uid="{04BD84BE-1E2D-43CA-B773-897044D04C3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3" authorId="0" shapeId="0" xr:uid="{A7F65DDF-8F0F-45F4-BCEB-3D489AF1C05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3" authorId="0" shapeId="0" xr:uid="{EBBDE2CA-007F-41F5-B7AC-F699A2EBA5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3" authorId="0" shapeId="0" xr:uid="{64ED3656-DFAD-4070-9EA4-9B82303295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4" authorId="0" shapeId="0" xr:uid="{68F68AC9-41FC-4298-A0DC-334A028627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4" authorId="0" shapeId="0" xr:uid="{85BDF204-18DD-4750-91ED-A65095011E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4" authorId="0" shapeId="0" xr:uid="{FC83574A-DEC6-4646-9B1A-A4C30AEF01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4" authorId="0" shapeId="0" xr:uid="{A37E7925-B06A-43D5-AED1-44CBBC1AC3B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5" authorId="0" shapeId="0" xr:uid="{EE717D5F-4596-4BBA-A406-E6E1FF20848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5" authorId="0" shapeId="0" xr:uid="{D08EE5F3-DC06-4617-B2D6-0D639196D2E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5" authorId="0" shapeId="0" xr:uid="{9EFC8F19-D61F-4E65-9921-A8B75B0B24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5" authorId="0" shapeId="0" xr:uid="{C4AEE782-3107-4885-9A43-BFE60CCA2D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6" authorId="0" shapeId="0" xr:uid="{8F47D2F6-CCC8-45AE-86FE-491C21FBD3E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6" authorId="0" shapeId="0" xr:uid="{6C0A9D34-3B36-49F4-B3F2-9C4E7EDC5E9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6" authorId="0" shapeId="0" xr:uid="{0AFD77A7-F48D-44AF-BDD5-8C01FD3850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6" authorId="0" shapeId="0" xr:uid="{319388EB-BD79-455B-89D8-CA975CF5141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7" authorId="0" shapeId="0" xr:uid="{900B600B-1334-41C4-B309-516FD69001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7" authorId="0" shapeId="0" xr:uid="{3BC608FC-A2B0-436A-9AF4-2E40926DD77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7" authorId="0" shapeId="0" xr:uid="{0E3DE7A6-C923-4DD9-8590-E3CD4DB77AE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7" authorId="0" shapeId="0" xr:uid="{A45C1ADF-35C0-4AC5-A529-B6654DD48C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8" authorId="0" shapeId="0" xr:uid="{241F2FB2-237C-4C81-9184-DA1B3EBF09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8" authorId="0" shapeId="0" xr:uid="{6E6E8CFE-8A15-42EE-AB80-C56325E7B12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8" authorId="0" shapeId="0" xr:uid="{7DD3BA48-5FD6-4952-BF0A-AF74475BA98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8" authorId="0" shapeId="0" xr:uid="{EE20228B-25F3-4F83-ADDD-06D3989817F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39" authorId="0" shapeId="0" xr:uid="{0D6B1F63-2CF8-4A46-AAF3-5AE3CFCA64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39" authorId="0" shapeId="0" xr:uid="{7ECB9F2B-5B50-4E93-8E5D-1D4ABAED402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39" authorId="0" shapeId="0" xr:uid="{7697A3C6-FBEA-4D50-9936-FEFD50DE252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39" authorId="0" shapeId="0" xr:uid="{DD7B3060-B487-4214-8951-F8A0F9C7A6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0" authorId="0" shapeId="0" xr:uid="{6FEC1503-2C9E-4207-9253-CDE7781927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0" authorId="0" shapeId="0" xr:uid="{AD91FD6E-11E4-4BED-AB50-4F1B0898020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0" authorId="0" shapeId="0" xr:uid="{59AAF79B-5590-4E30-8B85-604E74FDD8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0" authorId="0" shapeId="0" xr:uid="{A3C72043-5D86-4003-91CC-8BC79EA5D20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1" authorId="0" shapeId="0" xr:uid="{42996AEB-7448-4201-A8F5-4BD1C090DBB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1" authorId="0" shapeId="0" xr:uid="{F57CEE13-C0CC-4E6E-BD30-78F45F2C2B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1" authorId="0" shapeId="0" xr:uid="{1AC5D5B1-D465-4B32-9F17-3AC6A03BCA3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1" authorId="0" shapeId="0" xr:uid="{87AA8D8D-E904-47D1-AF0B-CAC71C25A0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2" authorId="0" shapeId="0" xr:uid="{9C5A1A56-3BC5-4AFB-9563-582E0EB4B69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2" authorId="0" shapeId="0" xr:uid="{0A3CC00C-F244-4D74-8AFF-58C9B98E994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2" authorId="0" shapeId="0" xr:uid="{31F731CB-2A76-4045-A738-29BEB2EE33F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2" authorId="0" shapeId="0" xr:uid="{642596D7-B5EC-4021-B420-16BE62E1547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3" authorId="0" shapeId="0" xr:uid="{FAAAB166-4B08-4FAF-B233-7BFA9264146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3" authorId="0" shapeId="0" xr:uid="{D0F1FBC7-4084-49DD-873C-9DA4599DCF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3" authorId="0" shapeId="0" xr:uid="{EBCF65AE-5A2E-45B3-9DBD-998B0E4BE0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3" authorId="0" shapeId="0" xr:uid="{FBD5884E-8645-4FE8-9C2A-F2FDD876577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4" authorId="0" shapeId="0" xr:uid="{93C3B8D8-D5CA-42A5-BD44-5AD9412FDD5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4" authorId="0" shapeId="0" xr:uid="{439DE42E-A31E-4F30-AD48-F1C6135771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4" authorId="0" shapeId="0" xr:uid="{F8752194-D30E-4D29-8E63-205305467D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4" authorId="0" shapeId="0" xr:uid="{E6362C2E-9C16-4F90-AAF8-8D287D19085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5" authorId="0" shapeId="0" xr:uid="{CA062A9E-97DF-4DD6-A22E-47D8F4C82BE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5" authorId="0" shapeId="0" xr:uid="{141344F2-07B4-4A6D-A58C-51972C5E8A2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5" authorId="0" shapeId="0" xr:uid="{0AB0855E-B913-4E0C-A3A7-B7CB8CF7FD9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5" authorId="0" shapeId="0" xr:uid="{55FA8D81-7768-4ABC-A399-B97D3A07002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6" authorId="0" shapeId="0" xr:uid="{A69D0EDC-1361-4795-8776-A59F660041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6" authorId="0" shapeId="0" xr:uid="{106517B0-8BEB-45A0-A9B7-F7FB3E3EF45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6" authorId="0" shapeId="0" xr:uid="{33840710-6EA8-4CB9-A507-BDDE1C08170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6" authorId="0" shapeId="0" xr:uid="{311E5C94-E25A-414B-B261-93BD9DFFD3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7" authorId="0" shapeId="0" xr:uid="{51DCD8C5-EB41-4200-B8ED-871F44B9DD4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7" authorId="0" shapeId="0" xr:uid="{D4328F55-86F3-40EC-936A-1FD27796CB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7" authorId="0" shapeId="0" xr:uid="{31F23809-BCE5-488F-AF0B-70F37F850D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7" authorId="0" shapeId="0" xr:uid="{77D6B541-5E45-436F-B6CF-4F453688AB8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8" authorId="0" shapeId="0" xr:uid="{7646FF9D-4E26-4A84-A76D-92474BF345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8" authorId="0" shapeId="0" xr:uid="{9D524A49-317A-4D23-953B-A186E1CDFDF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8" authorId="0" shapeId="0" xr:uid="{94CEBC17-382A-43E9-8D99-4BC07AC7D81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8" authorId="0" shapeId="0" xr:uid="{431A0A67-573C-494E-AB90-4B054CE4FF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49" authorId="0" shapeId="0" xr:uid="{3A393F99-0968-4098-ABBD-C4CD2C1653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49" authorId="0" shapeId="0" xr:uid="{F3C16EE7-7073-42F1-822F-6D40DFCA941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49" authorId="0" shapeId="0" xr:uid="{F85AAFD8-AC41-42ED-916D-D6B7F3AC31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49" authorId="0" shapeId="0" xr:uid="{E48869FF-D097-4980-962E-78DCC16A86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0" authorId="0" shapeId="0" xr:uid="{CB531121-13EF-4BA6-B0B8-A043BD6BC3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0" authorId="0" shapeId="0" xr:uid="{ED48FD92-767E-4358-9E0A-6FCA5521175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0" authorId="0" shapeId="0" xr:uid="{F4C0EFCF-E800-4F66-8761-89C06EB8B5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0" authorId="0" shapeId="0" xr:uid="{BE28C6AB-97DF-4916-8770-505251403F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1" authorId="0" shapeId="0" xr:uid="{A390B480-33A4-49FB-A765-88176473030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1" authorId="0" shapeId="0" xr:uid="{69B2DA1B-8144-4680-8B81-92F7CB47FAA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1" authorId="0" shapeId="0" xr:uid="{D4822AD1-4261-4BB4-A4D9-127BF37F0D2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1" authorId="0" shapeId="0" xr:uid="{D3CF119B-0627-450E-90D1-CFE6575114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2" authorId="0" shapeId="0" xr:uid="{0E34B87C-85FF-4B66-8432-18DAF468F3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2" authorId="0" shapeId="0" xr:uid="{0F250418-EEA3-4EB9-BE76-B8141E57B0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2" authorId="0" shapeId="0" xr:uid="{3EEDA25B-3CE4-439F-8492-9DFB9298861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2" authorId="0" shapeId="0" xr:uid="{5345B362-1588-407E-BFAC-2D8012C5D3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3" authorId="0" shapeId="0" xr:uid="{F50E136E-1363-4409-81BB-E85E69FB1A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3" authorId="0" shapeId="0" xr:uid="{58FA69AC-1DB5-4558-8BD1-E424032EDEC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3" authorId="0" shapeId="0" xr:uid="{692A65D9-7E46-4673-BE01-152E53090DD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3" authorId="0" shapeId="0" xr:uid="{537F55A8-5F58-432E-ADD3-6F0BF0DF8E9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4" authorId="0" shapeId="0" xr:uid="{D99EF78C-D477-470E-98EF-B2B8F9E144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4" authorId="0" shapeId="0" xr:uid="{8A367A15-4472-4063-A23A-D2DBEA1E9DA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4" authorId="0" shapeId="0" xr:uid="{E9C6DE92-3BE6-49C2-9E14-16DF2C361F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4" authorId="0" shapeId="0" xr:uid="{5F746BE7-482A-434B-B300-2C0CC5F63F5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5" authorId="0" shapeId="0" xr:uid="{07050240-A7AB-46FB-A9F2-5D268E3E521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5" authorId="0" shapeId="0" xr:uid="{CD3CF8F0-CDEF-49E1-ADD8-36238D5D66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5" authorId="0" shapeId="0" xr:uid="{1FB616B9-FF49-43DB-8A6A-DAE9112FCA3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5" authorId="0" shapeId="0" xr:uid="{BE2C09D7-F7E7-4F4D-8D2F-EE5995C3EFE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6" authorId="0" shapeId="0" xr:uid="{B265F5D6-A450-4E12-9DF3-70B902637E8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6" authorId="0" shapeId="0" xr:uid="{40682753-FDD1-4969-9D0A-5E447C3BC7C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6" authorId="0" shapeId="0" xr:uid="{A1A8613F-348A-4498-99A1-9FF55F13C70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6" authorId="0" shapeId="0" xr:uid="{804B2957-2693-4167-8CCC-2418C25E1B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7" authorId="0" shapeId="0" xr:uid="{1E647F50-4D23-446C-AC5E-1C65E934A3F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7" authorId="0" shapeId="0" xr:uid="{14A18AF3-FFD0-4F69-9454-7A7A9C58819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7" authorId="0" shapeId="0" xr:uid="{8BE5EA3A-9EB5-4E52-9891-05C0398954F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7" authorId="0" shapeId="0" xr:uid="{62640DAE-C5DC-46A3-88F4-064925ED28C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8" authorId="0" shapeId="0" xr:uid="{8E2040CC-4D2D-43BB-A849-FBF8F766018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8" authorId="0" shapeId="0" xr:uid="{819A5D93-3A58-4A96-B1FB-1C3D8269B95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8" authorId="0" shapeId="0" xr:uid="{1526CA83-DE36-4D15-BEDB-E75119E5D8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8" authorId="0" shapeId="0" xr:uid="{39DA8052-B777-41EF-8098-29783B2352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59" authorId="0" shapeId="0" xr:uid="{E649F8E9-680A-4922-8052-54346CB91D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59" authorId="0" shapeId="0" xr:uid="{F34F4C3B-375F-4459-B454-3BB55ECFC06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59" authorId="0" shapeId="0" xr:uid="{D513B26C-6EEA-4271-BA00-6DB2A6E3E9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59" authorId="0" shapeId="0" xr:uid="{C42387E6-99BF-44DD-BF3B-4749B8A229F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0" authorId="0" shapeId="0" xr:uid="{15023231-168B-4B0C-92BC-D5684C9903C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0" authorId="0" shapeId="0" xr:uid="{76ABF067-5C4C-4658-961B-4D16EE87585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0" authorId="0" shapeId="0" xr:uid="{16E5E1DA-2AB4-4DFE-8C49-F87672E4227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0" authorId="0" shapeId="0" xr:uid="{A0CEBFF3-9473-4207-921A-9B7C1DD1E78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1" authorId="0" shapeId="0" xr:uid="{4EC5660C-25E5-489A-A2D6-2ADFD79D649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1" authorId="0" shapeId="0" xr:uid="{4C391C7A-740E-4576-8039-4E4D6B2B94C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1" authorId="0" shapeId="0" xr:uid="{517E1A72-B5A7-4244-B8E7-899FC0F876E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1" authorId="0" shapeId="0" xr:uid="{C5894428-870A-4715-B1DF-951569E492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2" authorId="0" shapeId="0" xr:uid="{C0F60089-9A17-4212-889A-59E9D9913A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2" authorId="0" shapeId="0" xr:uid="{59AD65B3-1C68-40E2-8825-D7E07D714E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2" authorId="0" shapeId="0" xr:uid="{FA513C94-2B4C-4060-B6FA-1CEDE568127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2" authorId="0" shapeId="0" xr:uid="{AB5B23AF-5977-4C87-8B79-DC5C7A216CD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3" authorId="0" shapeId="0" xr:uid="{173536FF-7482-427B-A25B-B25E4793D7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3" authorId="0" shapeId="0" xr:uid="{2F061C95-4515-4611-82F7-580AF00E7C3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3" authorId="0" shapeId="0" xr:uid="{7E434764-572E-42CE-9A3D-5BEB42486D2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3" authorId="0" shapeId="0" xr:uid="{D8CC2913-5954-4059-BC20-7650D5DC50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4" authorId="0" shapeId="0" xr:uid="{B489276E-7E12-4D59-9FED-1D86CA363A5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4" authorId="0" shapeId="0" xr:uid="{13CF724D-0D85-4DAD-850B-EBDFB147583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4" authorId="0" shapeId="0" xr:uid="{314E6E5F-3D70-40D7-A5CA-1674984E999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4" authorId="0" shapeId="0" xr:uid="{837DC68E-9DF1-44F7-B713-BEF4F172AA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5" authorId="0" shapeId="0" xr:uid="{AA4F178A-CCEF-4944-825B-A0C573B9E76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5" authorId="0" shapeId="0" xr:uid="{1418D423-43B3-4CBD-83C3-A71DB30D068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5" authorId="0" shapeId="0" xr:uid="{8E0066FC-2F85-40E3-A3CB-E0D1147A75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5" authorId="0" shapeId="0" xr:uid="{B288D76F-CB35-46A1-BB9A-16E69B4D2A9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6" authorId="0" shapeId="0" xr:uid="{A88416A2-DD64-421A-AFC8-CB760E5914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6" authorId="0" shapeId="0" xr:uid="{4021E50A-1560-4D9E-B10B-71DF0C256DE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6" authorId="0" shapeId="0" xr:uid="{CF706543-F9E9-4096-8553-B40BB544558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6" authorId="0" shapeId="0" xr:uid="{3CBD67DD-E093-4633-BDF7-9B94BAADF2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7" authorId="0" shapeId="0" xr:uid="{B37550E2-54A9-495E-B11E-C5532048CE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7" authorId="0" shapeId="0" xr:uid="{11C3DE27-AD90-442A-9151-48E4D3CC945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7" authorId="0" shapeId="0" xr:uid="{43703C60-9140-4D65-8635-8FA9610268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7" authorId="0" shapeId="0" xr:uid="{7BC33547-1432-4A79-8FE0-B81473D47A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8" authorId="0" shapeId="0" xr:uid="{533D1BAE-F399-46BF-BC08-1AF8F75A16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8" authorId="0" shapeId="0" xr:uid="{F054457A-061A-4837-89C1-F52405E54C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8" authorId="0" shapeId="0" xr:uid="{1A3B982B-7BF3-450E-91C8-7D780C2E87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8" authorId="0" shapeId="0" xr:uid="{B42FD4CC-866F-4759-8525-16158C5D48E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69" authorId="0" shapeId="0" xr:uid="{078C362C-52D9-42CE-BB45-8B1E64E9E0C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69" authorId="0" shapeId="0" xr:uid="{CFE39612-DEBB-4FAC-B93D-75389115F27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69" authorId="0" shapeId="0" xr:uid="{48C6856E-8557-4618-B499-210A189B6BF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69" authorId="0" shapeId="0" xr:uid="{18341672-AD63-4335-AB76-ED0AE61FC84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0" authorId="0" shapeId="0" xr:uid="{EEC1751B-3FE9-4C7E-A90F-EF35F2B8D4F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0" authorId="0" shapeId="0" xr:uid="{1DBF8304-3C0A-4246-8516-4275518CC31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0" authorId="0" shapeId="0" xr:uid="{FAA25917-A5F0-4E89-8FD4-6C05457BC8E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0" authorId="0" shapeId="0" xr:uid="{AA0EEB16-A222-4F1C-8FB4-A2D97C6AE66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1" authorId="0" shapeId="0" xr:uid="{9FCBC898-24E8-4B69-A72D-B281361272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1" authorId="0" shapeId="0" xr:uid="{E14A60C2-EC92-44AA-BFB7-BF1C937415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1" authorId="0" shapeId="0" xr:uid="{316E3E80-21B4-4EA3-AB52-E5C3571640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1" authorId="0" shapeId="0" xr:uid="{803FFEEA-3441-460C-B341-6FA44C7490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2" authorId="0" shapeId="0" xr:uid="{B72111EE-79DE-42C8-AD6C-63E154022D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2" authorId="0" shapeId="0" xr:uid="{A9FC0B9B-0328-450A-8B33-36667D32C12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2" authorId="0" shapeId="0" xr:uid="{5FE14FDD-5B1F-4997-9968-F0FDE3EE9EA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2" authorId="0" shapeId="0" xr:uid="{6E60EDE7-888E-46E4-809B-FBF78EF2F28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3" authorId="0" shapeId="0" xr:uid="{5D778332-DA94-41AD-93FF-2545C0637E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3" authorId="0" shapeId="0" xr:uid="{7526ED95-C8FF-478A-A670-585C84B87E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3" authorId="0" shapeId="0" xr:uid="{546284CB-40D7-4039-966B-62D49AF8467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3" authorId="0" shapeId="0" xr:uid="{9F9A09E6-3446-44A0-A776-58993D81B2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4" authorId="0" shapeId="0" xr:uid="{6E0F77D4-BA63-4920-9EAB-BEAC47564D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4" authorId="0" shapeId="0" xr:uid="{97C7C751-118C-4E5E-A348-38BF50BF9B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4" authorId="0" shapeId="0" xr:uid="{FE01C051-B7DB-4993-B195-05CC15B5683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4" authorId="0" shapeId="0" xr:uid="{991B15D8-A33C-4100-938A-B2CE0F155B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5" authorId="0" shapeId="0" xr:uid="{8A3FF7A5-70D2-4D86-8119-FF692B299FE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5" authorId="0" shapeId="0" xr:uid="{B2E5DBA6-2A80-42E3-835C-85E31A9E6D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5" authorId="0" shapeId="0" xr:uid="{1EBF600F-7894-4201-A9E4-AD57699D5F4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5" authorId="0" shapeId="0" xr:uid="{78497A66-FD73-4B89-91E3-BD8735D4A34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6" authorId="0" shapeId="0" xr:uid="{43DA655F-7F2A-4C08-A3A7-EFE25443AA3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6" authorId="0" shapeId="0" xr:uid="{26642672-0BEB-4E24-9D15-55A8C2E790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6" authorId="0" shapeId="0" xr:uid="{1E7690B3-EE24-49C2-98D7-CFC49E2A78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6" authorId="0" shapeId="0" xr:uid="{32FFC0B8-9465-43BE-A3E3-EA566D54CB8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7" authorId="0" shapeId="0" xr:uid="{2232E18B-D013-4F6F-A696-0137ED0DC92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7" authorId="0" shapeId="0" xr:uid="{7CE91C09-A5FE-4F1C-8AA5-111D0E6793D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7" authorId="0" shapeId="0" xr:uid="{DBA52A89-BA12-4F08-946B-A5ED7AA55A3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7" authorId="0" shapeId="0" xr:uid="{8FA8104F-301D-4621-ACB4-6B0F570F7A0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8" authorId="0" shapeId="0" xr:uid="{481A4ED5-60AE-4B8D-BE34-0F241354AD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8" authorId="0" shapeId="0" xr:uid="{E4810932-4BB5-4D22-B6A9-7AD0940C3D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8" authorId="0" shapeId="0" xr:uid="{DE566EEE-A534-4250-911B-6EED7995CC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8" authorId="0" shapeId="0" xr:uid="{68B32D01-3BAF-4C5E-A10B-C0ECA9CE08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79" authorId="0" shapeId="0" xr:uid="{F428A137-35F9-42E9-8EF7-F9644587440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79" authorId="0" shapeId="0" xr:uid="{14618AAC-4D0E-417C-A051-51B322851C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79" authorId="0" shapeId="0" xr:uid="{7A1A96D2-ABD3-4095-BADA-CC02C1DD57E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79" authorId="0" shapeId="0" xr:uid="{A84643E5-E40F-43A2-B401-ED72BE7C435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80" authorId="0" shapeId="0" xr:uid="{72ACA700-73B1-47AB-9F7F-2F48C7C126B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80" authorId="0" shapeId="0" xr:uid="{7135A18C-3BEA-4B2F-960E-F9E34CD4CEE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80" authorId="0" shapeId="0" xr:uid="{E3E518F7-E6F6-42B2-8B8B-3FDB8C45C44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80" authorId="0" shapeId="0" xr:uid="{4697F27F-5770-4EE0-9931-C59C2058930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81" authorId="0" shapeId="0" xr:uid="{1150A2D1-6947-4623-A8D7-1B422085F5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dry sown. But got rain between 1st of May and 8th May.</t>
        </r>
      </text>
    </comment>
    <comment ref="G181" authorId="0" shapeId="0" xr:uid="{98BBD79C-71D6-4D58-9101-7C7F9982D5D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No rainfall between 8th May and June.</t>
        </r>
      </text>
    </comment>
    <comment ref="H181" authorId="0" shapeId="0" xr:uid="{63F5DCB7-C57D-4ABD-B3D5-3AAD804EC8A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3
Wet August but little spring rainfall</t>
        </r>
      </text>
    </comment>
    <comment ref="I181" authorId="0" shapeId="0" xr:uid="{596A81FA-149F-47BB-9B69-A45E90FF35D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6</t>
        </r>
      </text>
    </comment>
    <comment ref="F182" authorId="0" shapeId="0" xr:uid="{1619D3A5-4B33-427F-AD8C-CEDFDBB04AD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2" authorId="0" shapeId="0" xr:uid="{BE3DB5C6-2C75-4260-B382-DDE93C0619D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2" authorId="0" shapeId="0" xr:uid="{87B12A93-AF1C-4F6B-A653-C4622D54401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2" authorId="0" shapeId="0" xr:uid="{6F2521AA-E815-43B1-893E-97633EEC68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3" authorId="0" shapeId="0" xr:uid="{BE899497-693C-4617-B98F-E7840B1A9DB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3" authorId="0" shapeId="0" xr:uid="{3B320479-3F18-4FC0-B2A1-11EDC09834F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3" authorId="0" shapeId="0" xr:uid="{FFB869B4-E698-4EA3-8808-2EE8B8DA54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3" authorId="0" shapeId="0" xr:uid="{4D910526-97BB-4093-B2CE-6E27D79ACD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4" authorId="0" shapeId="0" xr:uid="{52C1ECFA-D865-4897-9CCD-E9231528C7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4" authorId="0" shapeId="0" xr:uid="{D0F1CEA6-056B-42F0-A0BA-8EB65D6D09A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4" authorId="0" shapeId="0" xr:uid="{82F75D3F-0B5A-47CF-93ED-66887397A4B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4" authorId="0" shapeId="0" xr:uid="{163ECAAD-4834-4C14-B2FD-79F0EA61459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5" authorId="0" shapeId="0" xr:uid="{8DA32AB4-79B5-4252-BB7A-32F9DB4977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5" authorId="0" shapeId="0" xr:uid="{C6D899BB-1D35-4A67-9BEF-B9347B94DD9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5" authorId="0" shapeId="0" xr:uid="{73F5EBC2-5D46-402C-9F31-D40B5A9C9B3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5" authorId="0" shapeId="0" xr:uid="{B8169957-D71A-4563-8075-C714B8CF699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6" authorId="0" shapeId="0" xr:uid="{A1CD6281-3252-43B2-AD10-5DE477044C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6" authorId="0" shapeId="0" xr:uid="{FC9C9951-280D-4DB5-B9EC-FF23D14AB00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6" authorId="0" shapeId="0" xr:uid="{821FDA58-8D15-4E3C-A881-3C9A56B184A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6" authorId="0" shapeId="0" xr:uid="{C7D4F056-D84F-4177-91ED-392BFEDC7FC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7" authorId="0" shapeId="0" xr:uid="{EB70C09F-3DD5-463E-B8D0-822B44CF29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7" authorId="0" shapeId="0" xr:uid="{409261B9-2C2C-40B1-8DAC-C151C4F98DD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7" authorId="0" shapeId="0" xr:uid="{E5418C2D-DD0B-4093-9DF6-FFC2F47732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7" authorId="0" shapeId="0" xr:uid="{17666125-DBFB-4997-95DF-B221161461B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8" authorId="0" shapeId="0" xr:uid="{00F4D921-A716-45D0-B55B-7FD296D37C7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8" authorId="0" shapeId="0" xr:uid="{6B2A65F5-0125-4E11-A881-7F0AFAAAEF5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8" authorId="0" shapeId="0" xr:uid="{8965C9B4-AA27-49D1-B760-B303F959BDC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8" authorId="0" shapeId="0" xr:uid="{798E0784-2D66-4206-8722-24BF019292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89" authorId="0" shapeId="0" xr:uid="{CDAD74AE-1625-48F0-BCC8-92140942E9A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89" authorId="0" shapeId="0" xr:uid="{38A0C36B-F0F7-42D7-8457-26B9579B1F1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89" authorId="0" shapeId="0" xr:uid="{F401D6AB-3B31-4D2D-969A-BB314F1AA92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89" authorId="0" shapeId="0" xr:uid="{FECCC788-DA43-4621-A3E5-10F0B59792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0" authorId="0" shapeId="0" xr:uid="{7D60012E-1666-4E75-BE53-0FC3177C38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0" authorId="0" shapeId="0" xr:uid="{A684512E-3091-4F9A-90FF-744788B581A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0" authorId="0" shapeId="0" xr:uid="{8725C51D-E6DC-493B-B205-EC7FE6E3D2C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0" authorId="0" shapeId="0" xr:uid="{6D5BD01E-2648-40D1-85D5-ADD3C10B42E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1" authorId="0" shapeId="0" xr:uid="{72B45E80-DFA0-4EBC-994D-E55E2E482E4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1" authorId="0" shapeId="0" xr:uid="{9D0990E6-C8B0-41F8-8035-19EBF73D542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1" authorId="0" shapeId="0" xr:uid="{792F2C0B-B330-4344-B0D9-22A83C55E2E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1" authorId="0" shapeId="0" xr:uid="{54924123-5067-470D-B648-2026100833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2" authorId="0" shapeId="0" xr:uid="{47B53CF7-82A2-4131-A738-0DD0AB6AEFF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2" authorId="0" shapeId="0" xr:uid="{5EF27692-7FD9-4733-8250-E93A8CF9FC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2" authorId="0" shapeId="0" xr:uid="{6B5C3872-FAF8-4568-BD5D-8A34ABD964C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2" authorId="0" shapeId="0" xr:uid="{01BC907F-3F26-48DD-AC64-C7AA4C48CA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3" authorId="0" shapeId="0" xr:uid="{DC0EBCBA-5F48-4B94-A06B-04FF8B13C7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3" authorId="0" shapeId="0" xr:uid="{5A9022B1-2750-4ECC-A4BF-8742272A22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3" authorId="0" shapeId="0" xr:uid="{B0DAE1E6-8E7A-44FC-A0A3-7B401F5311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3" authorId="0" shapeId="0" xr:uid="{71F59C0E-C2BD-4E6A-9536-B7ED232BC39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4" authorId="0" shapeId="0" xr:uid="{AF1C23DC-B7B5-427F-BD91-8AAAEEF6FE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4" authorId="0" shapeId="0" xr:uid="{D84438B7-7670-4014-8601-0013969B7E1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4" authorId="0" shapeId="0" xr:uid="{33DD63F6-52F9-4050-A814-E5C72EB325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4" authorId="0" shapeId="0" xr:uid="{3CDA29D5-CD92-4DE3-BC6C-8726ABF858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5" authorId="0" shapeId="0" xr:uid="{8B2BB153-5A65-48FE-84E6-0A302A55B25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5" authorId="0" shapeId="0" xr:uid="{5F11B027-25EC-4D30-8496-9EA7C97D25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5" authorId="0" shapeId="0" xr:uid="{19C54B6B-637D-4D7B-8F13-3FD4680CB31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5" authorId="0" shapeId="0" xr:uid="{D634AFAC-DDD3-4FF6-B912-C0DE2A3438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6" authorId="0" shapeId="0" xr:uid="{B5A8F132-31FE-4857-A859-DEF4DB7BF9E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6" authorId="0" shapeId="0" xr:uid="{0AB70909-B778-4AF1-A25B-C3D24981351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6" authorId="0" shapeId="0" xr:uid="{9A9E15AB-183C-48CE-A6D5-2F86618851B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6" authorId="0" shapeId="0" xr:uid="{3EC6C618-0ABD-431E-AB9C-9CCD6278524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7" authorId="0" shapeId="0" xr:uid="{4C184983-BDB0-41C5-881F-B29490DF506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7" authorId="0" shapeId="0" xr:uid="{A46C5E20-E020-4484-99A5-5DDDB143191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7" authorId="0" shapeId="0" xr:uid="{7568E426-D5A7-4842-8A25-4A022DDFFE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7" authorId="0" shapeId="0" xr:uid="{263C012D-FCD5-4B2E-AA1D-AD862350A16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8" authorId="0" shapeId="0" xr:uid="{EE571BC7-E04D-4B24-A562-4A1E96BFE6F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8" authorId="0" shapeId="0" xr:uid="{158304E8-CE8B-443A-8361-BB4DC4F657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8" authorId="0" shapeId="0" xr:uid="{AF677642-0A62-448F-B883-2141D04815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8" authorId="0" shapeId="0" xr:uid="{1CA929FA-0452-4CE7-A1B9-07B68AA224D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199" authorId="0" shapeId="0" xr:uid="{D93337E6-0D01-4377-814E-D3D63EE77CB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199" authorId="0" shapeId="0" xr:uid="{63FB89A7-97E2-40EB-8C83-3D19461DF7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199" authorId="0" shapeId="0" xr:uid="{220551A9-5643-47E5-97F3-1BFD05AE858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199" authorId="0" shapeId="0" xr:uid="{1887F098-9F69-48DB-8B1A-BD9C8403AB8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0" authorId="0" shapeId="0" xr:uid="{34EADEFD-FE35-46F7-9BE9-577DB63EAD4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0" authorId="0" shapeId="0" xr:uid="{08BB73F6-5CF8-4F24-87E9-6C8F40E4C83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0" authorId="0" shapeId="0" xr:uid="{25092292-A609-4CED-BCE5-71C59757021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0" authorId="0" shapeId="0" xr:uid="{5490D6FF-E621-457B-9DCA-ACAF681382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1" authorId="0" shapeId="0" xr:uid="{5EE9BF76-B58E-4975-941D-7D856D1009B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1" authorId="0" shapeId="0" xr:uid="{196AC2FC-0B87-48EE-9A4E-1881AE5CC9A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1" authorId="0" shapeId="0" xr:uid="{3351821D-0857-442A-849A-6C5478E4844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1" authorId="0" shapeId="0" xr:uid="{8AC43299-75D5-4931-9898-6C758CBE7E5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2" authorId="0" shapeId="0" xr:uid="{A8749F50-B304-4FF0-AD46-07E0BD6343B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2" authorId="0" shapeId="0" xr:uid="{0674D16B-420D-4FF2-82A2-BB286A0DD30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2" authorId="0" shapeId="0" xr:uid="{A89777D0-469E-42E6-8FF6-41493686ED2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2" authorId="0" shapeId="0" xr:uid="{5F85F77F-44D3-4AAF-894F-23B207F767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3" authorId="0" shapeId="0" xr:uid="{71AABB70-4BFF-4F99-93D2-509EEBC35F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3" authorId="0" shapeId="0" xr:uid="{4528542D-7525-4DAB-95B1-0B48C26F89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3" authorId="0" shapeId="0" xr:uid="{BC3B89C0-A226-4BE9-882F-E8BAED27DE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3" authorId="0" shapeId="0" xr:uid="{33DB6D3B-0FF9-4B85-A57C-35C4618C2CF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4" authorId="0" shapeId="0" xr:uid="{BEE041AB-66D0-4F1C-869E-C84B9C7FE3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4" authorId="0" shapeId="0" xr:uid="{0F774FD8-4DF2-4007-A11D-B7871DE3F9F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4" authorId="0" shapeId="0" xr:uid="{02B2CC9E-1538-4A2C-B18A-1B25CCA697E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4" authorId="0" shapeId="0" xr:uid="{03ED186A-D76F-42B7-9BA5-EEF45EBF4F6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5" authorId="0" shapeId="0" xr:uid="{C774301D-5AF5-4586-BD91-4493AA0945D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5" authorId="0" shapeId="0" xr:uid="{6CB90571-D75E-4497-887B-87B05D5737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5" authorId="0" shapeId="0" xr:uid="{AE320511-E2D0-4AE4-AE12-6C5B0B8639E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5" authorId="0" shapeId="0" xr:uid="{AC988A1C-D4CD-4EB2-9F2E-53AD45DEAC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6" authorId="0" shapeId="0" xr:uid="{9EE61EB3-0FF8-4C80-83CF-42ACD58F8E5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6" authorId="0" shapeId="0" xr:uid="{78938E83-4865-4B64-B45A-057E45D1EA1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6" authorId="0" shapeId="0" xr:uid="{688135B9-25C2-4526-8FFB-9967C846228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6" authorId="0" shapeId="0" xr:uid="{0A6C7160-FBAC-4EBC-B751-9C75A6EDC5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7" authorId="0" shapeId="0" xr:uid="{9ABE7CBF-6254-4AD6-A1CC-56253BA0876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7" authorId="0" shapeId="0" xr:uid="{C7CF305F-0215-4C1E-A530-965EE2CD6E1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7" authorId="0" shapeId="0" xr:uid="{E5AAE00D-64A5-404A-A8F2-6E46F9CFC0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7" authorId="0" shapeId="0" xr:uid="{B5D2AE6B-E812-4516-A441-AB1500BC618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8" authorId="0" shapeId="0" xr:uid="{354D3AE9-9B07-430B-AD96-CD2A590D1B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8" authorId="0" shapeId="0" xr:uid="{E11EDFE4-A9D4-48E1-9D34-2C09290F2D7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8" authorId="0" shapeId="0" xr:uid="{00D43CB8-156A-4642-BDAF-67B74226D7D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8" authorId="0" shapeId="0" xr:uid="{8B4D027F-DE82-43B8-B292-887907255A1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09" authorId="0" shapeId="0" xr:uid="{22DFA39C-88C2-4BD5-AABF-406A6916ED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09" authorId="0" shapeId="0" xr:uid="{3BCD888F-117A-4AFA-A6CD-DE666F2AF42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09" authorId="0" shapeId="0" xr:uid="{FD3DE9F9-879D-4195-9EA9-B3390A5C6D1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09" authorId="0" shapeId="0" xr:uid="{FAAE4628-4EF2-4057-A69D-7D5D7D7B54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0" authorId="0" shapeId="0" xr:uid="{6BD74267-4D5D-42BE-A5F5-B7D271F673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0" authorId="0" shapeId="0" xr:uid="{CB253A1F-314D-423C-819C-26ECC72619E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0" authorId="0" shapeId="0" xr:uid="{7FEDDB5A-7840-46F4-8DDE-9FA8B0FF3F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0" authorId="0" shapeId="0" xr:uid="{C8D34F05-F69A-458F-B933-593E8588F6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1" authorId="0" shapeId="0" xr:uid="{91DE974B-DD54-4047-853C-BE9EF72DF94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1" authorId="0" shapeId="0" xr:uid="{2F5A5DF9-C9BC-48F4-977C-D7EB39072D6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1" authorId="0" shapeId="0" xr:uid="{21D82DE1-99D2-4649-B5A0-D3F299E5E8B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1" authorId="0" shapeId="0" xr:uid="{3247A858-E245-408B-92D2-3B2BBEDBE5D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2" authorId="0" shapeId="0" xr:uid="{3F704637-31C0-4C50-BD88-8F7F67E162C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2" authorId="0" shapeId="0" xr:uid="{127487CE-21B4-4999-B29F-BF156B5DA37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2" authorId="0" shapeId="0" xr:uid="{F23A56DD-DCA4-42D5-9854-E9D66BED6B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2" authorId="0" shapeId="0" xr:uid="{4328F4DF-1EE4-493C-AB77-0835B7F8D48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3" authorId="0" shapeId="0" xr:uid="{13BEC9DE-94B9-4C1D-8DF0-A610EB67A7C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3" authorId="0" shapeId="0" xr:uid="{71AF3333-782F-4B19-962A-97F2F82075E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3" authorId="0" shapeId="0" xr:uid="{590F6E1C-F0C9-40DE-AEAF-2CD7B9A578D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3" authorId="0" shapeId="0" xr:uid="{2C0C3B4D-8F43-49B6-A93F-D1CC662954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4" authorId="0" shapeId="0" xr:uid="{BC0AAB30-95E2-4FF5-93D0-61894DBD5D8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4" authorId="0" shapeId="0" xr:uid="{CBE35A3F-8706-447D-A33C-D1A78D9C5F6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4" authorId="0" shapeId="0" xr:uid="{D871A722-18DC-4AA0-8D22-ADE0868F90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4" authorId="0" shapeId="0" xr:uid="{581031FD-2EE9-4894-AAC3-213874ECA75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5" authorId="0" shapeId="0" xr:uid="{978E2E51-DD7E-4677-A2CE-9724F895D7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5" authorId="0" shapeId="0" xr:uid="{B713165D-98AD-4892-B296-9B65170F8C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5" authorId="0" shapeId="0" xr:uid="{5E4ADC57-EA1F-488D-8289-705E86559B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5" authorId="0" shapeId="0" xr:uid="{7A172A66-EB23-4B40-9FBD-54FCDF0E695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6" authorId="0" shapeId="0" xr:uid="{931F4935-1D73-4177-AA37-EAD35D813EC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6" authorId="0" shapeId="0" xr:uid="{875E54CC-2901-40FA-9225-419112713BC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6" authorId="0" shapeId="0" xr:uid="{FD04AEA6-045D-4344-BC8C-5A2885B898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6" authorId="0" shapeId="0" xr:uid="{B6B254CE-FFE9-47B5-BAED-502DCCB0D9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7" authorId="0" shapeId="0" xr:uid="{929E4279-421D-4A7F-915D-FF30A8AEE2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7" authorId="0" shapeId="0" xr:uid="{1108800A-72D7-4547-B7E4-F92AC3E6E4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7" authorId="0" shapeId="0" xr:uid="{E10FD905-CE1A-42EE-8A78-51B2735A472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7" authorId="0" shapeId="0" xr:uid="{D834D94E-759D-455D-A5F4-06EB396C977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8" authorId="0" shapeId="0" xr:uid="{7392D28F-1E80-402E-88DD-B3AFD41D0E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8" authorId="0" shapeId="0" xr:uid="{C4E763C5-4D54-4E8D-AB23-B6A4CC0127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8" authorId="0" shapeId="0" xr:uid="{DA2AEF88-67D7-458F-AFC7-2169CB977B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8" authorId="0" shapeId="0" xr:uid="{7F782C1F-E0E0-4A53-A12A-40C14309BD7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19" authorId="0" shapeId="0" xr:uid="{E07ABAB2-3D5F-41FB-A10D-AF03005E47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19" authorId="0" shapeId="0" xr:uid="{E3E7D88E-24FC-4AB3-99A7-F081134A7A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19" authorId="0" shapeId="0" xr:uid="{B6F6E3B4-6D2E-4887-81D4-7510DE87F82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19" authorId="0" shapeId="0" xr:uid="{C7526E0B-DECC-47FA-889B-4812FA90179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0" authorId="0" shapeId="0" xr:uid="{32005251-7A2D-4F87-8384-31A5BF782F4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0" authorId="0" shapeId="0" xr:uid="{B5B85592-F4A3-42C2-92DD-BF0EB2A338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0" authorId="0" shapeId="0" xr:uid="{6151FDE9-1233-4AA2-951F-8CD935BEBE5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0" authorId="0" shapeId="0" xr:uid="{16B95CCA-F9E9-4435-ABFD-646E29CAD71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1" authorId="0" shapeId="0" xr:uid="{5E66F2FF-B6C2-467E-8C1F-6CDCEE22B0E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1" authorId="0" shapeId="0" xr:uid="{CE8126D6-6282-45C7-8BCC-EAF4DF5D153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1" authorId="0" shapeId="0" xr:uid="{2302FC2A-2EFC-4694-8614-FDBC555695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1" authorId="0" shapeId="0" xr:uid="{4B158A62-13BA-47A6-A42B-CF4B75BC6B9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2" authorId="0" shapeId="0" xr:uid="{BE0161CA-08ED-4B1F-A8EB-494A1D8F85F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2" authorId="0" shapeId="0" xr:uid="{225EACCE-5F5C-4A27-8280-F7DFBAC5213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2" authorId="0" shapeId="0" xr:uid="{F194480C-8D90-4A35-B383-9986E50C98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2" authorId="0" shapeId="0" xr:uid="{4DBD1E30-2E04-4BD1-A651-44625022F5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3" authorId="0" shapeId="0" xr:uid="{7D7999F9-971A-4694-8AC5-128FB21206E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3" authorId="0" shapeId="0" xr:uid="{1C023A55-BB6B-4F20-99C6-8EE1C5A5627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3" authorId="0" shapeId="0" xr:uid="{E8F67B67-70C6-4742-AC56-06CC9E6EFEE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3" authorId="0" shapeId="0" xr:uid="{8CF16BAA-D35F-4972-AF6A-212C63566AB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4" authorId="0" shapeId="0" xr:uid="{A37FA2A8-1042-4A03-944A-55381A00420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4" authorId="0" shapeId="0" xr:uid="{A979EEEE-EC89-449A-AFDE-1467CC1658C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4" authorId="0" shapeId="0" xr:uid="{41ABD3A7-C6F3-4875-A9AD-BE1A50E247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4" authorId="0" shapeId="0" xr:uid="{B2D61B9C-76BA-4136-A4D4-74906D3A0B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5" authorId="0" shapeId="0" xr:uid="{D7BB4633-C095-4229-B709-6C7AEE40CF5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5" authorId="0" shapeId="0" xr:uid="{C5088A41-754A-43B2-BD95-F6D0F6BF05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5" authorId="0" shapeId="0" xr:uid="{E35F2BDC-E45C-46C1-B8E1-C0FF49E38FB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5" authorId="0" shapeId="0" xr:uid="{B2BFC9D2-A492-4AA8-BAD6-F73C1B8455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6" authorId="0" shapeId="0" xr:uid="{ABD34CBE-5F3A-4089-B1B3-12393DFA3FD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6" authorId="0" shapeId="0" xr:uid="{964FFDF5-CBCC-4C6C-98FA-D2C9CE5593D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6" authorId="0" shapeId="0" xr:uid="{4D2A92F3-CB81-481D-9E96-842DEC882A4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6" authorId="0" shapeId="0" xr:uid="{BAEF5A01-8846-4FD9-8C1F-D6291F3355F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7" authorId="0" shapeId="0" xr:uid="{56F063D9-7D9D-4748-B9AA-12536A23D05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7" authorId="0" shapeId="0" xr:uid="{5730B8DB-0186-4B06-A14A-104057BB731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7" authorId="0" shapeId="0" xr:uid="{A74C30BA-B8DF-403E-998D-6545F483880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7" authorId="0" shapeId="0" xr:uid="{0A0BB3B2-BE81-404F-8567-8C9B05E64D7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8" authorId="0" shapeId="0" xr:uid="{EBDA8E36-B2BC-4059-A676-EA8EE47D3EF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8" authorId="0" shapeId="0" xr:uid="{7599F472-B3D8-4487-A8B5-536D3ECF876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8" authorId="0" shapeId="0" xr:uid="{7EA39418-3491-4EAA-9910-C2F6EC7D19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8" authorId="0" shapeId="0" xr:uid="{4E75FAD9-DC37-4385-B366-506C3530AB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29" authorId="0" shapeId="0" xr:uid="{C05CE10F-9AF3-4439-89E1-8813D67D7CF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29" authorId="0" shapeId="0" xr:uid="{D58CE65F-E133-4A14-B1A3-F80C39550B2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29" authorId="0" shapeId="0" xr:uid="{4C4EF1EC-4976-42B8-8EFE-F9A04D53D8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29" authorId="0" shapeId="0" xr:uid="{7430F277-777E-46FF-8930-2F323BE3975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0" authorId="0" shapeId="0" xr:uid="{73946429-87B9-463E-BD33-F3535F8E915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0" authorId="0" shapeId="0" xr:uid="{82C4E718-7CF0-4211-8073-AAD92BFF27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0" authorId="0" shapeId="0" xr:uid="{C8E22A29-F842-4BD8-A034-B36BEAAB973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0" authorId="0" shapeId="0" xr:uid="{FA033F30-66F0-4B98-B1DD-504BE1EB6A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1" authorId="0" shapeId="0" xr:uid="{A8080DD5-54CC-4ABC-A6AA-1142055118C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1" authorId="0" shapeId="0" xr:uid="{DFFD8DFC-8682-4C82-BD22-6537F09615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1" authorId="0" shapeId="0" xr:uid="{9E25DC29-0354-4947-8295-33909636230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1" authorId="0" shapeId="0" xr:uid="{6CDD33B6-E808-4323-91B0-C85BDCF40DC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2" authorId="0" shapeId="0" xr:uid="{490A39E4-D4A7-4CD1-9057-337C484154A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2" authorId="0" shapeId="0" xr:uid="{04D39BF9-AB5F-439C-AB15-214BA1E4B7A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2" authorId="0" shapeId="0" xr:uid="{F43BA265-882E-4592-AD03-6F213C03961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2" authorId="0" shapeId="0" xr:uid="{41966520-7555-4FBC-B6E8-51F01985A9C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3" authorId="0" shapeId="0" xr:uid="{21BAE857-6638-4AEB-B198-CF31FCB0355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3" authorId="0" shapeId="0" xr:uid="{3A74E62B-A481-4F0A-BFAF-BE53095CEF7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3" authorId="0" shapeId="0" xr:uid="{CB563D64-D067-4697-81E8-AFDB8CB48EB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3" authorId="0" shapeId="0" xr:uid="{2AAF263B-E76F-46FB-B826-255F2EE50EB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4" authorId="0" shapeId="0" xr:uid="{FBBE0427-DADA-46EA-B7B3-5B27E8ACB09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4" authorId="0" shapeId="0" xr:uid="{120FD95A-4F2A-4790-AB66-F6B27B1C3D2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4" authorId="0" shapeId="0" xr:uid="{CADF9C42-8399-46F2-BD14-07C0FF329D4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4" authorId="0" shapeId="0" xr:uid="{866D77DA-89FF-4FA0-90A4-220205AFE4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5" authorId="0" shapeId="0" xr:uid="{359F2FC8-EF43-4F0A-8E09-AFCB398BF8D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5" authorId="0" shapeId="0" xr:uid="{C191DCBF-D6F0-41D8-9B53-D9F4A954F0F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5" authorId="0" shapeId="0" xr:uid="{FFDB7226-D31F-47C3-9124-36A66376CA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5" authorId="0" shapeId="0" xr:uid="{9C985DF2-9A15-457B-8A42-5AADC2F41EE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6" authorId="0" shapeId="0" xr:uid="{E61C7EC9-B828-4761-A999-8BC7B67E74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6" authorId="0" shapeId="0" xr:uid="{5060FFFB-3122-4885-956E-D80F3E0D3BC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6" authorId="0" shapeId="0" xr:uid="{2EFE0375-AD86-464A-AE37-2165337102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6" authorId="0" shapeId="0" xr:uid="{08C2328E-1B3B-44FF-9ABE-57227DA7909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7" authorId="0" shapeId="0" xr:uid="{8A769D45-DBCA-4BF7-9246-5CA4DBCFDF2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7" authorId="0" shapeId="0" xr:uid="{924D584C-24B8-46EE-8229-DE06B703D83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7" authorId="0" shapeId="0" xr:uid="{CA9780BA-5F78-4D9B-BAD5-3A4A73FE83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7" authorId="0" shapeId="0" xr:uid="{E111B133-75DE-451B-9187-1F6BA6CE54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8" authorId="0" shapeId="0" xr:uid="{DE8EBD22-C190-4868-B5FC-8B55E1BA99B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8" authorId="0" shapeId="0" xr:uid="{3F91E916-E9F8-4F3F-B644-ABE99A6043D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8" authorId="0" shapeId="0" xr:uid="{3A5F11E5-287F-4BF2-B767-DC11BA467C5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8" authorId="0" shapeId="0" xr:uid="{42A79E3E-7BBC-4AF6-83E6-89BC889B46A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39" authorId="0" shapeId="0" xr:uid="{19771D2C-D206-4983-8432-72818825424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39" authorId="0" shapeId="0" xr:uid="{60445C51-F7B0-4336-B393-5ADAE9AAC29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39" authorId="0" shapeId="0" xr:uid="{7EB43D10-36DB-483E-98DE-543B4C9C537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39" authorId="0" shapeId="0" xr:uid="{5B2201E6-62CC-4794-AE0C-BF1658C7D3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0" authorId="0" shapeId="0" xr:uid="{022502FC-9B25-49C5-8A79-C25D471DB2B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0" authorId="0" shapeId="0" xr:uid="{EFD1CD45-F752-4A8A-87D2-B0D1549A28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0" authorId="0" shapeId="0" xr:uid="{53571012-F927-426E-88AC-4E9FE96DA1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0" authorId="0" shapeId="0" xr:uid="{AFB12722-2DB4-415A-AB1C-232062EF030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1" authorId="0" shapeId="0" xr:uid="{9C42EF70-8951-46FA-B9C3-EAE7CC89A3E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1" authorId="0" shapeId="0" xr:uid="{A8F5B8B0-4295-4DB8-89CE-8E1042E1DB5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1" authorId="0" shapeId="0" xr:uid="{4839CEC9-A99A-4DAF-90AC-E9E4D71E2E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1" authorId="0" shapeId="0" xr:uid="{D0500CA2-AEE7-4EE9-B047-4AE3B29EDB2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2" authorId="0" shapeId="0" xr:uid="{A4FFAA63-5806-4C8E-8403-DE6C2C0E151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2" authorId="0" shapeId="0" xr:uid="{79D00950-EA47-465C-BB78-45CE75BAAD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2" authorId="0" shapeId="0" xr:uid="{89DAB1DB-4B30-4202-AAAB-33BB4811893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2" authorId="0" shapeId="0" xr:uid="{A353C657-94C4-4836-974C-1690EFC170C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3" authorId="0" shapeId="0" xr:uid="{CAD26CC1-6607-4E33-9F6E-707909FA1E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3" authorId="0" shapeId="0" xr:uid="{82BA5A0F-85AD-4663-A111-243A5614597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3" authorId="0" shapeId="0" xr:uid="{97EB86CC-DB36-4260-AA45-F950F2F3433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3" authorId="0" shapeId="0" xr:uid="{9EF315E3-2C4B-4138-8D59-86E2A12E47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4" authorId="0" shapeId="0" xr:uid="{192689FF-8F6E-4722-BF4D-DC0F9D2030F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4" authorId="0" shapeId="0" xr:uid="{45EB5FB3-6268-426C-A90A-1342B678D0A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4" authorId="0" shapeId="0" xr:uid="{C888134F-26B9-4D1E-9239-CAAF5861050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4" authorId="0" shapeId="0" xr:uid="{702E8DDD-B5CD-46EA-A689-80078FEAA6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5" authorId="0" shapeId="0" xr:uid="{4598210B-6704-4720-95C8-8A9D0535347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5" authorId="0" shapeId="0" xr:uid="{9ED8F3E2-9AC3-4C5C-A5EE-635D2EE7F86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5" authorId="0" shapeId="0" xr:uid="{12CC0AD5-7BD9-49BD-8BDC-0CFD0F51D66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5" authorId="0" shapeId="0" xr:uid="{0C54FB94-2A2C-41A8-8FA1-7E0BE540FA6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6" authorId="0" shapeId="0" xr:uid="{D14FF459-A03F-4B25-A834-0943068830B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6" authorId="0" shapeId="0" xr:uid="{FEA98629-A920-4E65-8F4A-771EB23567B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6" authorId="0" shapeId="0" xr:uid="{EE29807B-9FE4-428F-9F3C-61E41DB5A92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6" authorId="0" shapeId="0" xr:uid="{0CEE8904-3B56-4B52-81AB-69EE39E1DF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7" authorId="0" shapeId="0" xr:uid="{582121E4-0E2D-4FD0-A930-AA52A36FFF0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7" authorId="0" shapeId="0" xr:uid="{737BC8D4-8181-48AC-BC4B-777833A277B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7" authorId="0" shapeId="0" xr:uid="{F1D515AC-6AF8-4941-9078-D8169DE7635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7" authorId="0" shapeId="0" xr:uid="{1714CCEB-DD88-4BC2-9651-529EB3F6A23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8" authorId="0" shapeId="0" xr:uid="{4832423D-1643-441B-BA9D-DAAA075D622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8" authorId="0" shapeId="0" xr:uid="{CD228EC2-258F-4B79-A858-5E577106DA6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8" authorId="0" shapeId="0" xr:uid="{FFF0C9F0-E3E1-4597-9F70-3CAB0CC197A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8" authorId="0" shapeId="0" xr:uid="{2C914C03-2D72-48F1-92DB-BB2D1504B81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49" authorId="0" shapeId="0" xr:uid="{4D53B82C-D02A-4A65-A36B-0EC3BB6A312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49" authorId="0" shapeId="0" xr:uid="{3AD7FDF3-DA09-4581-BD7B-1542097329A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49" authorId="0" shapeId="0" xr:uid="{16078726-CE51-4D6B-B144-32E7181E623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49" authorId="0" shapeId="0" xr:uid="{67F99A99-71FC-42E3-AE88-152F4EDB34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0" authorId="0" shapeId="0" xr:uid="{40BDE53F-6310-4DF0-BFC2-57E6F9C951D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0" authorId="0" shapeId="0" xr:uid="{CF46EA4C-E3AE-4F33-8E09-6BB367C7F4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0" authorId="0" shapeId="0" xr:uid="{85EABC76-2BB6-408C-93EF-34AF2FB91EF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0" authorId="0" shapeId="0" xr:uid="{4664D0B1-E84F-40BA-B3CE-B3D77B0015F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1" authorId="0" shapeId="0" xr:uid="{722ADE5F-E4D0-4880-83E4-D71D05DA897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1" authorId="0" shapeId="0" xr:uid="{BE0F6E01-76E9-4A3A-A059-8B531A8513E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1" authorId="0" shapeId="0" xr:uid="{DB96190D-0E60-45F0-B919-7479CF89F90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1" authorId="0" shapeId="0" xr:uid="{B3EF1E12-1693-4678-9B64-CA7C0E3BC88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2" authorId="0" shapeId="0" xr:uid="{BD1F9676-55BE-4F24-8A4E-2DBF42DDB2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2" authorId="0" shapeId="0" xr:uid="{703CF387-9987-485A-9786-9AD8EC1ED06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2" authorId="0" shapeId="0" xr:uid="{E7335623-2B4C-4106-A66E-45E9D8E856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2" authorId="0" shapeId="0" xr:uid="{30390A10-FD05-4B4D-9B9C-0F21F82C5B5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3" authorId="0" shapeId="0" xr:uid="{19CD10EE-DEC8-4155-A6BD-70045E2F6AD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3" authorId="0" shapeId="0" xr:uid="{9FE56BF7-D2E1-457A-8FE1-255923716E3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3" authorId="0" shapeId="0" xr:uid="{F6F646E5-63C6-412D-BC4E-1553E767FAC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3" authorId="0" shapeId="0" xr:uid="{D110A257-88E1-48F8-86D4-B4460CA4E7A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4" authorId="0" shapeId="0" xr:uid="{2DDA6CD9-820C-488A-B3E1-EBB4083EA47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4" authorId="0" shapeId="0" xr:uid="{7A23ADA9-D41D-4C08-B378-87BADDC25A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4" authorId="0" shapeId="0" xr:uid="{6837820F-0047-47A0-B326-C5C10AE669A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4" authorId="0" shapeId="0" xr:uid="{51400180-7006-4E3D-96CB-ABFBD66F61A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5" authorId="0" shapeId="0" xr:uid="{CAEDBB2D-0C68-4A17-9FE5-C74BF47E93F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5" authorId="0" shapeId="0" xr:uid="{BB875FCB-3E91-44DE-9E5E-DCF378D9A23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5" authorId="0" shapeId="0" xr:uid="{8154B8B0-AFE5-40C4-8D35-8C01FDA86C7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5" authorId="0" shapeId="0" xr:uid="{60E445E2-99B9-4377-B19A-F76FF1BEBBA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6" authorId="0" shapeId="0" xr:uid="{5B3EA1F9-065B-481E-87A6-B5C5D4A5DA5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6" authorId="0" shapeId="0" xr:uid="{13EFDBF3-AF21-458C-A742-B1DFD966CEF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6" authorId="0" shapeId="0" xr:uid="{07E15C86-3661-47C5-AD16-2A319683EA9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6" authorId="0" shapeId="0" xr:uid="{E5371E67-904C-4AF2-B6A2-D522F93B45B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7" authorId="0" shapeId="0" xr:uid="{EE6DE9F8-3375-4D6A-99DC-B6A7DEA494A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7" authorId="0" shapeId="0" xr:uid="{007242A6-0741-4D22-851B-9692DCE84E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7" authorId="0" shapeId="0" xr:uid="{0CFBFAB6-9EA2-4CF1-8A64-A334D1635F28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7" authorId="0" shapeId="0" xr:uid="{EC14CB66-9387-4FD6-AE40-B9DAF9B2DD0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8" authorId="0" shapeId="0" xr:uid="{A66D0A36-1D2E-4C27-9420-686C8EDBE7A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8" authorId="0" shapeId="0" xr:uid="{A01DEF48-E08A-4E56-A8DB-C80B854490C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8" authorId="0" shapeId="0" xr:uid="{31369901-6089-4587-8D3F-EF2A6E8397A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8" authorId="0" shapeId="0" xr:uid="{5BAF8F87-BBD8-49FB-AF43-39B1AC28307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59" authorId="0" shapeId="0" xr:uid="{4258EF74-2C64-498C-A2CF-70450E9183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59" authorId="0" shapeId="0" xr:uid="{F1FEB47D-80DB-4581-9F48-41CA404F290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59" authorId="0" shapeId="0" xr:uid="{0E8B0E67-03BA-47AB-A02E-9E5B774DBF7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59" authorId="0" shapeId="0" xr:uid="{606FE00E-54B7-4119-A863-6791D30C743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0" authorId="0" shapeId="0" xr:uid="{A8870AED-0228-46A9-AA94-D4A0D181390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0" authorId="0" shapeId="0" xr:uid="{F999A297-DC0C-45F8-B539-E82E961C1C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0" authorId="0" shapeId="0" xr:uid="{55F4F53F-2778-4A96-8544-F524357BB20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0" authorId="0" shapeId="0" xr:uid="{909DFE9D-D839-4988-880F-24653BCC649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1" authorId="0" shapeId="0" xr:uid="{87BD0AD9-0F94-41E6-AAFB-99911E72E3B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1" authorId="0" shapeId="0" xr:uid="{C4281104-987E-49B3-A788-5D99FB16C58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1" authorId="0" shapeId="0" xr:uid="{ADF2C267-27C0-4C6C-A14F-B88FFDA136A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1" authorId="0" shapeId="0" xr:uid="{71CC68D9-EEBE-489B-88B7-D8BF23C8394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2" authorId="0" shapeId="0" xr:uid="{B2358344-3F30-4F8F-946E-F4606863FAB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2" authorId="0" shapeId="0" xr:uid="{DCB13A81-0B03-4E6B-891C-15934BA72FC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2" authorId="0" shapeId="0" xr:uid="{0CE72332-6479-4D41-AB82-31A532BB9FE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2" authorId="0" shapeId="0" xr:uid="{91F30671-9210-42DB-8A22-53AE7D5DA59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3" authorId="0" shapeId="0" xr:uid="{14CBF26E-5026-428D-BEC0-8D9E68B38FF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3" authorId="0" shapeId="0" xr:uid="{8BC4CB74-088D-4B75-AFB3-6B5DF039CF1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3" authorId="0" shapeId="0" xr:uid="{B669A865-A695-4C3D-80B2-73C4FD33B72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3" authorId="0" shapeId="0" xr:uid="{7DD26773-7431-495F-8C88-79162209E9A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4" authorId="0" shapeId="0" xr:uid="{F8AB9CF3-753A-4DAB-B4C9-9EB05848770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4" authorId="0" shapeId="0" xr:uid="{00C528D3-5E3A-47DB-9482-0060EDB25BB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4" authorId="0" shapeId="0" xr:uid="{33C08B64-F5B0-4941-9A04-592C43776EA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4" authorId="0" shapeId="0" xr:uid="{79B4106D-9A6A-41DB-B598-8C5A1752399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5" authorId="0" shapeId="0" xr:uid="{18012AFF-3408-4F9F-AFB7-FD25185F5DE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5" authorId="0" shapeId="0" xr:uid="{815656E3-C5BF-4F41-B52B-07822FA167CE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5" authorId="0" shapeId="0" xr:uid="{6E90F146-D07C-4F83-9F8B-3A8D32B9C6F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5" authorId="0" shapeId="0" xr:uid="{5248B28C-DE52-4343-897E-5B0D2E76E99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6" authorId="0" shapeId="0" xr:uid="{3D59E6E4-2644-47C8-A134-4DB443BF894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6" authorId="0" shapeId="0" xr:uid="{42117919-FE2B-47B3-AFC0-0E307896523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6" authorId="0" shapeId="0" xr:uid="{D5481367-F244-414B-AD7F-CAC0309D861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6" authorId="0" shapeId="0" xr:uid="{051B5E32-3FD9-4FB9-90D5-EE7F2013949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7" authorId="0" shapeId="0" xr:uid="{6DD54F2E-A797-41C5-BDC7-B695E821BA6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7" authorId="0" shapeId="0" xr:uid="{2EEB0FC8-9A32-459F-8B39-15F7A504141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7" authorId="0" shapeId="0" xr:uid="{63F70B27-FED8-41D6-975D-AC8AE7659EA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7" authorId="0" shapeId="0" xr:uid="{CA32C141-6392-4DC4-8F40-A0176134E3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8" authorId="0" shapeId="0" xr:uid="{9A596A84-A88C-4EFC-8D88-8267EBADCB47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8" authorId="0" shapeId="0" xr:uid="{C79F335E-6D0C-4738-8128-0291FD13385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8" authorId="0" shapeId="0" xr:uid="{7BD6945F-1287-473D-AD58-15BD59677AE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8" authorId="0" shapeId="0" xr:uid="{3E19A3CA-2E21-4584-A942-51B1F89450F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69" authorId="0" shapeId="0" xr:uid="{32CFA78E-313D-46C5-A1A7-A0E4DEE46FE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69" authorId="0" shapeId="0" xr:uid="{78A14C31-9C89-4B0D-9C5A-E3A47E143E5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69" authorId="0" shapeId="0" xr:uid="{1A0245BF-55D5-491C-8FA3-60F395D96C26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69" authorId="0" shapeId="0" xr:uid="{94114C40-BC9E-4CCB-BACE-51A11F909AF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70" authorId="0" shapeId="0" xr:uid="{695CC183-51E7-4F49-8A8F-33376F98ED3C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70" authorId="0" shapeId="0" xr:uid="{ABCD53E5-D39F-48DC-8EE9-8E483EAD0F3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70" authorId="0" shapeId="0" xr:uid="{97131440-33EE-44B8-B275-61184E809A10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70" authorId="0" shapeId="0" xr:uid="{462E21AA-9EE7-4FC9-BEFB-73F2F3D57F6B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  <comment ref="F271" authorId="0" shapeId="0" xr:uid="{03618C24-44B8-4409-8FB8-924CBB3ADC9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Time of break was good but sowing time was the issue. Cereals/Lupin sown 16 May.
Canola sown 18June.</t>
        </r>
      </text>
    </comment>
    <comment ref="G271" authorId="0" shapeId="0" xr:uid="{882F8675-B0F3-4A0A-94E7-EDFF75FFFB75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Lots of soil moisture and some rain (although below average)</t>
        </r>
      </text>
    </comment>
    <comment ref="H271" authorId="0" shapeId="0" xr:uid="{79E86406-EB86-45FC-9C85-4E03A22B96C1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Long and wet spring</t>
        </r>
      </text>
    </comment>
    <comment ref="I271" authorId="0" shapeId="0" xr:uid="{9EC9B28A-3B7F-49B9-801B-16083D9AC88A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Decile 8</t>
        </r>
      </text>
    </comment>
  </commentList>
</comments>
</file>

<file path=xl/sharedStrings.xml><?xml version="1.0" encoding="utf-8"?>
<sst xmlns="http://schemas.openxmlformats.org/spreadsheetml/2006/main" count="2780" uniqueCount="38">
  <si>
    <t>Year</t>
  </si>
  <si>
    <t>Region</t>
  </si>
  <si>
    <t>Soil PAWC</t>
  </si>
  <si>
    <t>Time of break</t>
  </si>
  <si>
    <t>Quality of break</t>
  </si>
  <si>
    <t>3 Previous Land Use</t>
  </si>
  <si>
    <t>2 Previous Land Use</t>
  </si>
  <si>
    <t>Previous Land Use</t>
  </si>
  <si>
    <t>Current Land Use</t>
  </si>
  <si>
    <t>N Rate (kg N/ha)</t>
  </si>
  <si>
    <t>Kendenup</t>
  </si>
  <si>
    <t>Medium</t>
  </si>
  <si>
    <t>Protein (%)</t>
  </si>
  <si>
    <t>GS rainfall decile</t>
  </si>
  <si>
    <t>Spring rainfall decile</t>
  </si>
  <si>
    <t>Good</t>
  </si>
  <si>
    <t>Poor</t>
  </si>
  <si>
    <t>Wheat</t>
  </si>
  <si>
    <t>Canola</t>
  </si>
  <si>
    <t>Barley</t>
  </si>
  <si>
    <t>Lupin</t>
  </si>
  <si>
    <t>Late</t>
  </si>
  <si>
    <t>Yield (t/ha)</t>
  </si>
  <si>
    <t>Treatment</t>
  </si>
  <si>
    <t>H</t>
  </si>
  <si>
    <t>L</t>
  </si>
  <si>
    <t>N</t>
  </si>
  <si>
    <t>Screenings (%)</t>
  </si>
  <si>
    <t>Rotation</t>
  </si>
  <si>
    <t>No Legume</t>
  </si>
  <si>
    <t>Single Break</t>
  </si>
  <si>
    <t>Double Break</t>
  </si>
  <si>
    <t>Grain Nitrogen %</t>
  </si>
  <si>
    <t>Nitrogen Removal</t>
  </si>
  <si>
    <t>NUE (yield Nf)</t>
  </si>
  <si>
    <t>N conversion factor</t>
  </si>
  <si>
    <t>Total available soil N (kg/ha)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</si>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</sst>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Segoe U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Alignment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0" fillId="0" borderId="0" xfId="0" applyNumberFormat="1"/>
    <xf numFmtId="0" fontId="6" fillId="0" borderId="0" xfId="0" applyFont="1" applyAlignment="1">
      <alignment horizontal="center" vertical="center"/>
    </xf>
    <xf numFmtId="0" fontId="6" fillId="0" borderId="0" xfId="0" applyFont="1"/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1" applyNumberFormat="1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2" fontId="6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</cellXfs>
  <cellStyles count="2">
    <cellStyle name="Normal" xfId="0" builtinId="0"/>
    <cellStyle name="Normal 3" xfId="1" xr:uid="{6E1953DF-F6BA-45B1-ADD6-2846186DE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2DCA-317A-42E1-94B7-A557731F58A0}">
  <dimension ref="A1:AK271"/>
  <sheetViews>
    <sheetView tabSelected="1" workbookViewId="0">
      <pane ySplit="1" topLeftCell="A256" activePane="bottomLeft" state="frozen"/>
      <selection pane="bottomLeft" activeCell="O182" sqref="O182:P271"/>
    </sheetView>
  </sheetViews>
  <sheetFormatPr defaultRowHeight="14.5" x14ac:dyDescent="0.35"/>
  <cols>
    <col min="6" max="6" width="10.08984375" bestFit="1" customWidth="1"/>
    <col min="25" max="25" width="14.1796875" bestFit="1" customWidth="1"/>
    <col min="26" max="26" width="13.453125" bestFit="1" customWidth="1"/>
  </cols>
  <sheetData>
    <row r="1" spans="1:37" ht="58" x14ac:dyDescent="0.35">
      <c r="A1" s="10" t="s">
        <v>23</v>
      </c>
      <c r="B1" s="10" t="s">
        <v>28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1" t="s">
        <v>14</v>
      </c>
      <c r="I1" s="1" t="s">
        <v>13</v>
      </c>
      <c r="J1" s="1" t="s">
        <v>5</v>
      </c>
      <c r="K1" s="1" t="s">
        <v>6</v>
      </c>
      <c r="L1" s="1" t="s">
        <v>7</v>
      </c>
      <c r="M1" s="1" t="s">
        <v>8</v>
      </c>
      <c r="N1" s="1" t="str">
        <f>J1&amp;" N Level"</f>
        <v>3 Previous Land Use N Level</v>
      </c>
      <c r="O1" s="1" t="str">
        <f>K1&amp;" N Level"</f>
        <v>2 Previous Land Use N Level</v>
      </c>
      <c r="P1" s="1" t="str">
        <f>L1&amp;" N Level"</f>
        <v>Previous Land Use N Level</v>
      </c>
      <c r="Q1" s="1" t="s">
        <v>9</v>
      </c>
      <c r="R1" s="1" t="s">
        <v>22</v>
      </c>
      <c r="S1" s="1" t="s">
        <v>12</v>
      </c>
      <c r="T1" s="1" t="s">
        <v>27</v>
      </c>
      <c r="U1" s="12" t="s">
        <v>32</v>
      </c>
      <c r="V1" s="12" t="s">
        <v>33</v>
      </c>
      <c r="W1" s="12" t="s">
        <v>34</v>
      </c>
      <c r="X1" s="14" t="s">
        <v>36</v>
      </c>
    </row>
    <row r="2" spans="1:37" ht="16" x14ac:dyDescent="0.35">
      <c r="A2" s="11" t="s">
        <v>24</v>
      </c>
      <c r="B2" s="4" t="s">
        <v>29</v>
      </c>
      <c r="C2">
        <v>2023</v>
      </c>
      <c r="D2" t="s">
        <v>10</v>
      </c>
      <c r="E2" t="s">
        <v>11</v>
      </c>
      <c r="F2" s="3" t="s">
        <v>21</v>
      </c>
      <c r="G2" t="s">
        <v>16</v>
      </c>
      <c r="H2" t="s">
        <v>16</v>
      </c>
      <c r="I2" t="s">
        <v>15</v>
      </c>
      <c r="M2" s="4" t="s">
        <v>17</v>
      </c>
      <c r="Q2" s="5">
        <v>146.19999999999999</v>
      </c>
      <c r="R2" s="6">
        <v>3.2814710042432811</v>
      </c>
      <c r="S2" s="7">
        <v>11.1</v>
      </c>
      <c r="T2" s="7">
        <v>4.5588513641402812</v>
      </c>
      <c r="U2" s="7">
        <f>S2/VLOOKUP(M2,Constants!$A$2:$B$5,2,FALSE)</f>
        <v>1.9137931034482758</v>
      </c>
      <c r="V2" s="7">
        <f>U2/100*R2*1000</f>
        <v>62.800565770862789</v>
      </c>
      <c r="W2" s="13">
        <f>V2/Q2</f>
        <v>0.42955243345323391</v>
      </c>
      <c r="X2">
        <v>87.56</v>
      </c>
    </row>
    <row r="3" spans="1:37" ht="16" x14ac:dyDescent="0.35">
      <c r="A3" s="11" t="s">
        <v>25</v>
      </c>
      <c r="B3" s="4" t="s">
        <v>29</v>
      </c>
      <c r="C3">
        <v>2023</v>
      </c>
      <c r="D3" t="s">
        <v>10</v>
      </c>
      <c r="E3" t="s">
        <v>11</v>
      </c>
      <c r="F3" s="3" t="s">
        <v>21</v>
      </c>
      <c r="G3" t="s">
        <v>16</v>
      </c>
      <c r="H3" t="s">
        <v>16</v>
      </c>
      <c r="I3" t="s">
        <v>15</v>
      </c>
      <c r="M3" s="4" t="s">
        <v>17</v>
      </c>
      <c r="Q3" s="5">
        <v>79.2</v>
      </c>
      <c r="R3" s="6">
        <v>2.9816124469589811</v>
      </c>
      <c r="S3" s="7">
        <v>9.8000000000000007</v>
      </c>
      <c r="T3" s="7">
        <v>3.5948119972563446</v>
      </c>
      <c r="U3" s="7">
        <f>S3/VLOOKUP(M3,Constants!$A$2:$B$5,2,FALSE)</f>
        <v>1.6896551724137934</v>
      </c>
      <c r="V3" s="7">
        <f t="shared" ref="V3:V66" si="0">U3/100*R3*1000</f>
        <v>50.378968931375894</v>
      </c>
      <c r="W3" s="13">
        <f t="shared" ref="W3:W66" si="1">V3/Q3</f>
        <v>0.63609809256787742</v>
      </c>
      <c r="X3">
        <v>87.949999999999989</v>
      </c>
    </row>
    <row r="4" spans="1:37" ht="16" x14ac:dyDescent="0.35">
      <c r="A4" s="11" t="s">
        <v>26</v>
      </c>
      <c r="B4" s="4" t="s">
        <v>29</v>
      </c>
      <c r="C4">
        <v>2023</v>
      </c>
      <c r="D4" t="s">
        <v>10</v>
      </c>
      <c r="E4" t="s">
        <v>11</v>
      </c>
      <c r="F4" s="3" t="s">
        <v>21</v>
      </c>
      <c r="G4" t="s">
        <v>16</v>
      </c>
      <c r="H4" t="s">
        <v>16</v>
      </c>
      <c r="I4" t="s">
        <v>15</v>
      </c>
      <c r="M4" s="4" t="s">
        <v>17</v>
      </c>
      <c r="Q4" s="5">
        <v>10</v>
      </c>
      <c r="R4" s="6">
        <v>2.1669024045261667</v>
      </c>
      <c r="S4" s="7">
        <v>9.4</v>
      </c>
      <c r="T4" s="7">
        <v>2.2471318808546465</v>
      </c>
      <c r="U4" s="7">
        <f>S4/VLOOKUP(M4,Constants!$A$2:$B$5,2,FALSE)</f>
        <v>1.6206896551724139</v>
      </c>
      <c r="V4" s="7">
        <f t="shared" si="0"/>
        <v>35.118763107837879</v>
      </c>
      <c r="W4" s="13">
        <f t="shared" si="1"/>
        <v>3.511876310783788</v>
      </c>
      <c r="X4">
        <v>99.81</v>
      </c>
    </row>
    <row r="5" spans="1:37" ht="16" x14ac:dyDescent="0.35">
      <c r="A5" s="11" t="s">
        <v>26</v>
      </c>
      <c r="B5" s="4" t="s">
        <v>29</v>
      </c>
      <c r="C5">
        <v>2023</v>
      </c>
      <c r="D5" t="s">
        <v>10</v>
      </c>
      <c r="E5" t="s">
        <v>11</v>
      </c>
      <c r="F5" s="3" t="s">
        <v>21</v>
      </c>
      <c r="G5" t="s">
        <v>16</v>
      </c>
      <c r="H5" t="s">
        <v>16</v>
      </c>
      <c r="I5" t="s">
        <v>15</v>
      </c>
      <c r="M5" s="4" t="s">
        <v>18</v>
      </c>
      <c r="Q5" s="5">
        <v>10</v>
      </c>
      <c r="R5" s="6">
        <v>0.99009900990098998</v>
      </c>
      <c r="S5" s="4">
        <v>19.5</v>
      </c>
      <c r="T5" s="4">
        <v>0</v>
      </c>
      <c r="U5" s="7">
        <f>S5/VLOOKUP(M5,Constants!$A$2:$B$5,2,FALSE)</f>
        <v>3.12</v>
      </c>
      <c r="V5" s="7">
        <f t="shared" si="0"/>
        <v>30.89108910891089</v>
      </c>
      <c r="W5" s="13">
        <f t="shared" si="1"/>
        <v>3.0891089108910892</v>
      </c>
      <c r="X5">
        <v>63.650000000000006</v>
      </c>
    </row>
    <row r="6" spans="1:37" ht="16" x14ac:dyDescent="0.35">
      <c r="A6" s="11" t="s">
        <v>25</v>
      </c>
      <c r="B6" s="4" t="s">
        <v>29</v>
      </c>
      <c r="C6">
        <v>2023</v>
      </c>
      <c r="D6" t="s">
        <v>10</v>
      </c>
      <c r="E6" t="s">
        <v>11</v>
      </c>
      <c r="F6" s="3" t="s">
        <v>21</v>
      </c>
      <c r="G6" t="s">
        <v>16</v>
      </c>
      <c r="H6" t="s">
        <v>16</v>
      </c>
      <c r="I6" t="s">
        <v>15</v>
      </c>
      <c r="M6" s="4" t="s">
        <v>18</v>
      </c>
      <c r="Q6" s="5">
        <v>75.2</v>
      </c>
      <c r="R6" s="6">
        <v>1.205091937765205</v>
      </c>
      <c r="S6" s="8">
        <v>19.600000000000001</v>
      </c>
      <c r="T6" s="8">
        <v>0</v>
      </c>
      <c r="U6" s="7">
        <f>S6/VLOOKUP(M6,Constants!$A$2:$B$5,2,FALSE)</f>
        <v>3.1360000000000001</v>
      </c>
      <c r="V6" s="7">
        <f t="shared" si="0"/>
        <v>37.791683168316823</v>
      </c>
      <c r="W6" s="13">
        <f t="shared" si="1"/>
        <v>0.50254897830208534</v>
      </c>
      <c r="X6">
        <v>121.57999999999998</v>
      </c>
    </row>
    <row r="7" spans="1:37" ht="16" x14ac:dyDescent="0.35">
      <c r="A7" s="11" t="s">
        <v>24</v>
      </c>
      <c r="B7" s="4" t="s">
        <v>29</v>
      </c>
      <c r="C7">
        <v>2023</v>
      </c>
      <c r="D7" t="s">
        <v>10</v>
      </c>
      <c r="E7" t="s">
        <v>11</v>
      </c>
      <c r="F7" s="3" t="s">
        <v>21</v>
      </c>
      <c r="G7" t="s">
        <v>16</v>
      </c>
      <c r="H7" t="s">
        <v>16</v>
      </c>
      <c r="I7" t="s">
        <v>15</v>
      </c>
      <c r="M7" s="4" t="s">
        <v>18</v>
      </c>
      <c r="Q7" s="5">
        <v>175.2</v>
      </c>
      <c r="R7" s="6">
        <v>1.6237623762376239</v>
      </c>
      <c r="S7" s="8">
        <v>20.8</v>
      </c>
      <c r="T7" s="8">
        <v>0</v>
      </c>
      <c r="U7" s="7">
        <f>S7/VLOOKUP(M7,Constants!$A$2:$B$5,2,FALSE)</f>
        <v>3.3280000000000003</v>
      </c>
      <c r="V7" s="7">
        <f t="shared" si="0"/>
        <v>54.038811881188131</v>
      </c>
      <c r="W7" s="13">
        <f t="shared" si="1"/>
        <v>0.30844070708440718</v>
      </c>
      <c r="X7">
        <v>83.300000000000011</v>
      </c>
    </row>
    <row r="8" spans="1:37" ht="16" x14ac:dyDescent="0.35">
      <c r="A8" s="11" t="s">
        <v>26</v>
      </c>
      <c r="B8" s="4" t="s">
        <v>30</v>
      </c>
      <c r="C8">
        <v>2023</v>
      </c>
      <c r="D8" t="s">
        <v>10</v>
      </c>
      <c r="E8" t="s">
        <v>11</v>
      </c>
      <c r="F8" s="3" t="s">
        <v>21</v>
      </c>
      <c r="G8" t="s">
        <v>16</v>
      </c>
      <c r="H8" t="s">
        <v>16</v>
      </c>
      <c r="I8" t="s">
        <v>15</v>
      </c>
      <c r="M8" s="4" t="s">
        <v>17</v>
      </c>
      <c r="Q8" s="5">
        <v>10</v>
      </c>
      <c r="R8" s="6">
        <v>1.5615275813295613</v>
      </c>
      <c r="S8" s="7">
        <v>10.1</v>
      </c>
      <c r="T8" s="7">
        <v>3.4128004748244138</v>
      </c>
      <c r="U8" s="7">
        <f>S8/VLOOKUP(M8,Constants!$A$2:$B$5,2,FALSE)</f>
        <v>1.7413793103448276</v>
      </c>
      <c r="V8" s="7">
        <f t="shared" si="0"/>
        <v>27.192118226600979</v>
      </c>
      <c r="W8" s="13">
        <f t="shared" si="1"/>
        <v>2.7192118226600979</v>
      </c>
      <c r="X8">
        <v>68.109999999999985</v>
      </c>
    </row>
    <row r="9" spans="1:37" ht="16" x14ac:dyDescent="0.35">
      <c r="A9" s="11" t="s">
        <v>24</v>
      </c>
      <c r="B9" s="4" t="s">
        <v>30</v>
      </c>
      <c r="C9">
        <v>2023</v>
      </c>
      <c r="D9" t="s">
        <v>10</v>
      </c>
      <c r="E9" t="s">
        <v>11</v>
      </c>
      <c r="F9" s="3" t="s">
        <v>21</v>
      </c>
      <c r="G9" t="s">
        <v>16</v>
      </c>
      <c r="H9" t="s">
        <v>16</v>
      </c>
      <c r="I9" t="s">
        <v>15</v>
      </c>
      <c r="M9" s="4" t="s">
        <v>17</v>
      </c>
      <c r="Q9" s="5">
        <v>146.19999999999999</v>
      </c>
      <c r="R9" s="6">
        <v>2.3309759547383311</v>
      </c>
      <c r="S9" s="7">
        <v>11.2</v>
      </c>
      <c r="T9" s="7">
        <v>4.3620711807786199</v>
      </c>
      <c r="U9" s="7">
        <f>S9/VLOOKUP(M9,Constants!$A$2:$B$5,2,FALSE)</f>
        <v>1.9310344827586206</v>
      </c>
      <c r="V9" s="7">
        <f t="shared" si="0"/>
        <v>45.011949470809142</v>
      </c>
      <c r="W9" s="13">
        <f t="shared" si="1"/>
        <v>0.30787927134616377</v>
      </c>
      <c r="X9">
        <v>73.850000000000009</v>
      </c>
    </row>
    <row r="10" spans="1:37" ht="16" x14ac:dyDescent="0.35">
      <c r="A10" s="11" t="s">
        <v>25</v>
      </c>
      <c r="B10" s="4" t="s">
        <v>30</v>
      </c>
      <c r="C10">
        <v>2023</v>
      </c>
      <c r="D10" t="s">
        <v>10</v>
      </c>
      <c r="E10" t="s">
        <v>11</v>
      </c>
      <c r="F10" s="3" t="s">
        <v>21</v>
      </c>
      <c r="G10" t="s">
        <v>16</v>
      </c>
      <c r="H10" t="s">
        <v>16</v>
      </c>
      <c r="I10" t="s">
        <v>15</v>
      </c>
      <c r="M10" s="4" t="s">
        <v>17</v>
      </c>
      <c r="Q10" s="5">
        <v>79.2</v>
      </c>
      <c r="R10" s="6">
        <v>1.9009900990099007</v>
      </c>
      <c r="S10" s="7">
        <v>10.6</v>
      </c>
      <c r="T10" s="7">
        <v>3.8078451121929384</v>
      </c>
      <c r="U10" s="7">
        <f>S10/VLOOKUP(M10,Constants!$A$2:$B$5,2,FALSE)</f>
        <v>1.8275862068965518</v>
      </c>
      <c r="V10" s="7">
        <f t="shared" si="0"/>
        <v>34.742232843974051</v>
      </c>
      <c r="W10" s="13">
        <f t="shared" si="1"/>
        <v>0.43866455611078348</v>
      </c>
      <c r="X10">
        <v>77.099999999999994</v>
      </c>
    </row>
    <row r="11" spans="1:37" ht="16" x14ac:dyDescent="0.35">
      <c r="A11" s="11" t="s">
        <v>25</v>
      </c>
      <c r="B11" s="4" t="s">
        <v>30</v>
      </c>
      <c r="C11">
        <v>2023</v>
      </c>
      <c r="D11" t="s">
        <v>10</v>
      </c>
      <c r="E11" t="s">
        <v>11</v>
      </c>
      <c r="F11" s="3" t="s">
        <v>21</v>
      </c>
      <c r="G11" t="s">
        <v>16</v>
      </c>
      <c r="H11" t="s">
        <v>16</v>
      </c>
      <c r="I11" t="s">
        <v>15</v>
      </c>
      <c r="M11" s="4" t="s">
        <v>18</v>
      </c>
      <c r="Q11" s="5">
        <v>75.2</v>
      </c>
      <c r="R11" s="6">
        <v>1.3974540311173975</v>
      </c>
      <c r="S11" s="8">
        <v>19.399999999999999</v>
      </c>
      <c r="T11" s="8">
        <v>0</v>
      </c>
      <c r="U11" s="7">
        <f>S11/VLOOKUP(M11,Constants!$A$2:$B$5,2,FALSE)</f>
        <v>3.1039999999999996</v>
      </c>
      <c r="V11" s="7">
        <f t="shared" si="0"/>
        <v>43.376973125884021</v>
      </c>
      <c r="W11" s="13">
        <f t="shared" si="1"/>
        <v>0.57682145114207473</v>
      </c>
      <c r="X11" t="s">
        <v>37</v>
      </c>
    </row>
    <row r="12" spans="1:37" ht="16" x14ac:dyDescent="0.35">
      <c r="A12" s="11" t="s">
        <v>26</v>
      </c>
      <c r="B12" s="4" t="s">
        <v>30</v>
      </c>
      <c r="C12">
        <v>2023</v>
      </c>
      <c r="D12" t="s">
        <v>10</v>
      </c>
      <c r="E12" t="s">
        <v>11</v>
      </c>
      <c r="F12" s="3" t="s">
        <v>21</v>
      </c>
      <c r="G12" t="s">
        <v>16</v>
      </c>
      <c r="H12" t="s">
        <v>16</v>
      </c>
      <c r="I12" t="s">
        <v>15</v>
      </c>
      <c r="M12" s="4" t="s">
        <v>18</v>
      </c>
      <c r="Q12" s="5">
        <v>10</v>
      </c>
      <c r="R12" s="6">
        <v>1.0127298444130126</v>
      </c>
      <c r="S12" s="8">
        <v>20.3</v>
      </c>
      <c r="T12" s="8">
        <v>0</v>
      </c>
      <c r="U12" s="7">
        <f>S12/VLOOKUP(M12,Constants!$A$2:$B$5,2,FALSE)</f>
        <v>3.2480000000000002</v>
      </c>
      <c r="V12" s="7">
        <f t="shared" si="0"/>
        <v>32.893465346534654</v>
      </c>
      <c r="W12" s="13">
        <f t="shared" si="1"/>
        <v>3.2893465346534656</v>
      </c>
      <c r="X12" t="s">
        <v>37</v>
      </c>
    </row>
    <row r="13" spans="1:37" ht="16" x14ac:dyDescent="0.35">
      <c r="A13" s="11" t="s">
        <v>24</v>
      </c>
      <c r="B13" s="4" t="s">
        <v>30</v>
      </c>
      <c r="C13">
        <v>2023</v>
      </c>
      <c r="D13" t="s">
        <v>10</v>
      </c>
      <c r="E13" t="s">
        <v>11</v>
      </c>
      <c r="F13" s="3" t="s">
        <v>21</v>
      </c>
      <c r="G13" t="s">
        <v>16</v>
      </c>
      <c r="H13" t="s">
        <v>16</v>
      </c>
      <c r="I13" t="s">
        <v>15</v>
      </c>
      <c r="M13" s="4" t="s">
        <v>18</v>
      </c>
      <c r="Q13" s="5">
        <v>175.2</v>
      </c>
      <c r="R13" s="6">
        <v>1.5502121640735502</v>
      </c>
      <c r="S13" s="8">
        <v>20.8</v>
      </c>
      <c r="T13" s="8">
        <v>0</v>
      </c>
      <c r="U13" s="7">
        <f>S13/VLOOKUP(M13,Constants!$A$2:$B$5,2,FALSE)</f>
        <v>3.3280000000000003</v>
      </c>
      <c r="V13" s="7">
        <f t="shared" si="0"/>
        <v>51.591060820367758</v>
      </c>
      <c r="W13" s="13">
        <f t="shared" si="1"/>
        <v>0.29446952523040959</v>
      </c>
      <c r="X13" s="1" t="s">
        <v>37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6" x14ac:dyDescent="0.35">
      <c r="A14" s="11" t="s">
        <v>24</v>
      </c>
      <c r="B14" s="4" t="s">
        <v>30</v>
      </c>
      <c r="C14">
        <v>2023</v>
      </c>
      <c r="D14" t="s">
        <v>10</v>
      </c>
      <c r="E14" t="s">
        <v>11</v>
      </c>
      <c r="F14" s="3" t="s">
        <v>21</v>
      </c>
      <c r="G14" t="s">
        <v>16</v>
      </c>
      <c r="H14" t="s">
        <v>16</v>
      </c>
      <c r="I14" t="s">
        <v>15</v>
      </c>
      <c r="M14" s="4" t="s">
        <v>19</v>
      </c>
      <c r="Q14" s="5">
        <v>146.19999999999999</v>
      </c>
      <c r="R14" s="6">
        <v>3.8019801980198014</v>
      </c>
      <c r="S14" s="9">
        <v>12.2</v>
      </c>
      <c r="T14" s="9">
        <v>2.1453057613623794</v>
      </c>
      <c r="U14" s="7">
        <f>S14/VLOOKUP(M14,Constants!$A$2:$B$5,2,FALSE)</f>
        <v>2.1746880570409979</v>
      </c>
      <c r="V14" s="7">
        <f t="shared" si="0"/>
        <v>82.681209297400301</v>
      </c>
      <c r="W14" s="13">
        <f t="shared" si="1"/>
        <v>0.5655349473146396</v>
      </c>
      <c r="X14">
        <v>91.11</v>
      </c>
      <c r="AD14" s="4"/>
      <c r="AH14" s="5"/>
      <c r="AI14" s="6"/>
      <c r="AJ14" s="7"/>
      <c r="AK14" s="7"/>
    </row>
    <row r="15" spans="1:37" ht="16" x14ac:dyDescent="0.35">
      <c r="A15" s="11" t="s">
        <v>26</v>
      </c>
      <c r="B15" s="4" t="s">
        <v>30</v>
      </c>
      <c r="C15">
        <v>2023</v>
      </c>
      <c r="D15" t="s">
        <v>10</v>
      </c>
      <c r="E15" t="s">
        <v>11</v>
      </c>
      <c r="F15" s="3" t="s">
        <v>21</v>
      </c>
      <c r="G15" t="s">
        <v>16</v>
      </c>
      <c r="H15" t="s">
        <v>16</v>
      </c>
      <c r="I15" t="s">
        <v>15</v>
      </c>
      <c r="M15" s="4" t="s">
        <v>19</v>
      </c>
      <c r="Q15" s="5">
        <v>10</v>
      </c>
      <c r="R15" s="6">
        <v>2.1725601131541725</v>
      </c>
      <c r="S15" s="9">
        <v>10.5</v>
      </c>
      <c r="T15" s="9">
        <v>2.857599403446164</v>
      </c>
      <c r="U15" s="7">
        <f>S15/VLOOKUP(M15,Constants!$A$2:$B$5,2,FALSE)</f>
        <v>1.8716577540106951</v>
      </c>
      <c r="V15" s="7">
        <f t="shared" si="0"/>
        <v>40.662889818393595</v>
      </c>
      <c r="W15" s="13">
        <f t="shared" si="1"/>
        <v>4.0662889818393593</v>
      </c>
      <c r="X15">
        <v>54.599999999999994</v>
      </c>
      <c r="AD15" s="4"/>
      <c r="AH15" s="5"/>
      <c r="AI15" s="6"/>
      <c r="AJ15" s="7"/>
      <c r="AK15" s="7"/>
    </row>
    <row r="16" spans="1:37" ht="16" x14ac:dyDescent="0.35">
      <c r="A16" s="11" t="s">
        <v>25</v>
      </c>
      <c r="B16" s="4" t="s">
        <v>30</v>
      </c>
      <c r="C16">
        <v>2023</v>
      </c>
      <c r="D16" t="s">
        <v>10</v>
      </c>
      <c r="E16" t="s">
        <v>11</v>
      </c>
      <c r="F16" s="3" t="s">
        <v>21</v>
      </c>
      <c r="G16" t="s">
        <v>16</v>
      </c>
      <c r="H16" t="s">
        <v>16</v>
      </c>
      <c r="I16" t="s">
        <v>15</v>
      </c>
      <c r="M16" s="4" t="s">
        <v>19</v>
      </c>
      <c r="Q16" s="5">
        <v>79.2</v>
      </c>
      <c r="R16" s="6">
        <v>3.1739745403111739</v>
      </c>
      <c r="S16" s="9">
        <v>11.4</v>
      </c>
      <c r="T16" s="9">
        <v>3.0097245613081984</v>
      </c>
      <c r="U16" s="7">
        <f>S16/VLOOKUP(M16,Constants!$A$2:$B$5,2,FALSE)</f>
        <v>2.0320855614973263</v>
      </c>
      <c r="V16" s="7">
        <f t="shared" si="0"/>
        <v>64.497878359264504</v>
      </c>
      <c r="W16" s="13">
        <f t="shared" si="1"/>
        <v>0.81436715100081447</v>
      </c>
      <c r="X16">
        <v>44.74</v>
      </c>
      <c r="AD16" s="4"/>
      <c r="AH16" s="5"/>
      <c r="AI16" s="6"/>
      <c r="AJ16" s="7"/>
      <c r="AK16" s="7"/>
    </row>
    <row r="17" spans="1:37" ht="16" x14ac:dyDescent="0.35">
      <c r="A17" s="11" t="s">
        <v>26</v>
      </c>
      <c r="B17" s="4" t="s">
        <v>30</v>
      </c>
      <c r="C17">
        <v>2023</v>
      </c>
      <c r="D17" t="s">
        <v>10</v>
      </c>
      <c r="E17" t="s">
        <v>11</v>
      </c>
      <c r="F17" s="3" t="s">
        <v>21</v>
      </c>
      <c r="G17" t="s">
        <v>16</v>
      </c>
      <c r="H17" t="s">
        <v>16</v>
      </c>
      <c r="I17" t="s">
        <v>15</v>
      </c>
      <c r="M17" s="4" t="s">
        <v>20</v>
      </c>
      <c r="Q17" s="5">
        <v>10</v>
      </c>
      <c r="R17" s="6">
        <v>2.8005657708628009</v>
      </c>
      <c r="S17" s="8">
        <v>29.1</v>
      </c>
      <c r="T17" s="8">
        <v>0</v>
      </c>
      <c r="U17" s="7">
        <f>S17/VLOOKUP(M17,Constants!$A$2:$B$5,2,FALSE)</f>
        <v>4.6560000000000006</v>
      </c>
      <c r="V17" s="7">
        <f t="shared" si="0"/>
        <v>130.39434229137203</v>
      </c>
      <c r="W17" s="13">
        <f t="shared" si="1"/>
        <v>13.039434229137203</v>
      </c>
      <c r="X17">
        <v>103.7</v>
      </c>
      <c r="AD17" s="4"/>
      <c r="AH17" s="5"/>
      <c r="AI17" s="6"/>
      <c r="AJ17" s="4"/>
      <c r="AK17" s="4"/>
    </row>
    <row r="18" spans="1:37" ht="16" x14ac:dyDescent="0.35">
      <c r="A18" s="11" t="s">
        <v>24</v>
      </c>
      <c r="B18" s="4" t="s">
        <v>30</v>
      </c>
      <c r="C18">
        <v>2023</v>
      </c>
      <c r="D18" t="s">
        <v>10</v>
      </c>
      <c r="E18" t="s">
        <v>11</v>
      </c>
      <c r="F18" s="3" t="s">
        <v>21</v>
      </c>
      <c r="G18" t="s">
        <v>16</v>
      </c>
      <c r="H18" t="s">
        <v>16</v>
      </c>
      <c r="I18" t="s">
        <v>15</v>
      </c>
      <c r="M18" s="4" t="s">
        <v>20</v>
      </c>
      <c r="Q18" s="5">
        <v>10</v>
      </c>
      <c r="R18" s="6">
        <v>2.5007072135785009</v>
      </c>
      <c r="S18" s="8">
        <v>29.7</v>
      </c>
      <c r="T18" s="8">
        <v>0</v>
      </c>
      <c r="U18" s="7">
        <f>S18/VLOOKUP(M18,Constants!$A$2:$B$5,2,FALSE)</f>
        <v>4.7519999999999998</v>
      </c>
      <c r="V18" s="7">
        <f t="shared" si="0"/>
        <v>118.83360678925037</v>
      </c>
      <c r="W18" s="13">
        <f t="shared" si="1"/>
        <v>11.883360678925037</v>
      </c>
      <c r="X18">
        <v>67.28</v>
      </c>
      <c r="AD18" s="4"/>
      <c r="AH18" s="5"/>
      <c r="AI18" s="6"/>
      <c r="AJ18" s="8"/>
      <c r="AK18" s="8"/>
    </row>
    <row r="19" spans="1:37" ht="16" x14ac:dyDescent="0.35">
      <c r="A19" s="11" t="s">
        <v>25</v>
      </c>
      <c r="B19" s="4" t="s">
        <v>30</v>
      </c>
      <c r="C19">
        <v>2023</v>
      </c>
      <c r="D19" t="s">
        <v>10</v>
      </c>
      <c r="E19" t="s">
        <v>11</v>
      </c>
      <c r="F19" s="3" t="s">
        <v>21</v>
      </c>
      <c r="G19" t="s">
        <v>16</v>
      </c>
      <c r="H19" t="s">
        <v>16</v>
      </c>
      <c r="I19" t="s">
        <v>15</v>
      </c>
      <c r="M19" s="4" t="s">
        <v>20</v>
      </c>
      <c r="Q19" s="5">
        <v>10</v>
      </c>
      <c r="R19" s="6">
        <v>2.7779349363507775</v>
      </c>
      <c r="S19" s="8">
        <v>29</v>
      </c>
      <c r="T19" s="8">
        <v>0</v>
      </c>
      <c r="U19" s="7">
        <f>S19/VLOOKUP(M19,Constants!$A$2:$B$5,2,FALSE)</f>
        <v>4.6399999999999997</v>
      </c>
      <c r="V19" s="7">
        <f t="shared" si="0"/>
        <v>128.89618104667608</v>
      </c>
      <c r="W19" s="13">
        <f t="shared" si="1"/>
        <v>12.889618104667608</v>
      </c>
      <c r="X19" t="s">
        <v>37</v>
      </c>
      <c r="AD19" s="4"/>
      <c r="AH19" s="5"/>
      <c r="AI19" s="6"/>
      <c r="AJ19" s="8"/>
      <c r="AK19" s="8"/>
    </row>
    <row r="20" spans="1:37" ht="16" x14ac:dyDescent="0.35">
      <c r="A20" s="11" t="s">
        <v>25</v>
      </c>
      <c r="B20" s="4" t="s">
        <v>31</v>
      </c>
      <c r="C20">
        <v>2023</v>
      </c>
      <c r="D20" t="s">
        <v>10</v>
      </c>
      <c r="E20" t="s">
        <v>11</v>
      </c>
      <c r="F20" s="3" t="s">
        <v>21</v>
      </c>
      <c r="G20" t="s">
        <v>16</v>
      </c>
      <c r="H20" t="s">
        <v>16</v>
      </c>
      <c r="I20" t="s">
        <v>15</v>
      </c>
      <c r="M20" s="4" t="s">
        <v>20</v>
      </c>
      <c r="Q20" s="5">
        <v>10</v>
      </c>
      <c r="R20" s="6">
        <v>1.9915134370579914</v>
      </c>
      <c r="S20" s="8">
        <v>33</v>
      </c>
      <c r="T20" s="8">
        <v>0</v>
      </c>
      <c r="U20" s="7">
        <f>S20/VLOOKUP(M20,Constants!$A$2:$B$5,2,FALSE)</f>
        <v>5.28</v>
      </c>
      <c r="V20" s="7">
        <f t="shared" si="0"/>
        <v>105.15190947666194</v>
      </c>
      <c r="W20" s="13">
        <f t="shared" si="1"/>
        <v>10.515190947666195</v>
      </c>
      <c r="X20" t="s">
        <v>37</v>
      </c>
      <c r="AD20" s="4"/>
      <c r="AH20" s="5"/>
      <c r="AI20" s="6"/>
      <c r="AJ20" s="7"/>
      <c r="AK20" s="7"/>
    </row>
    <row r="21" spans="1:37" ht="16" x14ac:dyDescent="0.35">
      <c r="A21" s="11" t="s">
        <v>24</v>
      </c>
      <c r="B21" s="4" t="s">
        <v>31</v>
      </c>
      <c r="C21">
        <v>2023</v>
      </c>
      <c r="D21" t="s">
        <v>10</v>
      </c>
      <c r="E21" t="s">
        <v>11</v>
      </c>
      <c r="F21" s="3" t="s">
        <v>21</v>
      </c>
      <c r="G21" t="s">
        <v>16</v>
      </c>
      <c r="H21" t="s">
        <v>16</v>
      </c>
      <c r="I21" t="s">
        <v>15</v>
      </c>
      <c r="M21" s="4" t="s">
        <v>20</v>
      </c>
      <c r="Q21" s="5">
        <v>10</v>
      </c>
      <c r="R21" s="6">
        <v>2.2743988684582743</v>
      </c>
      <c r="S21" s="8">
        <v>29.4</v>
      </c>
      <c r="T21" s="8">
        <v>0</v>
      </c>
      <c r="U21" s="7">
        <f>S21/VLOOKUP(M21,Constants!$A$2:$B$5,2,FALSE)</f>
        <v>4.7039999999999997</v>
      </c>
      <c r="V21" s="7">
        <f t="shared" si="0"/>
        <v>106.98772277227722</v>
      </c>
      <c r="W21" s="13">
        <f t="shared" si="1"/>
        <v>10.698772277227722</v>
      </c>
      <c r="X21" t="s">
        <v>37</v>
      </c>
      <c r="AD21" s="4"/>
      <c r="AH21" s="5"/>
      <c r="AI21" s="6"/>
      <c r="AJ21" s="7"/>
      <c r="AK21" s="7"/>
    </row>
    <row r="22" spans="1:37" ht="16" x14ac:dyDescent="0.35">
      <c r="A22" s="11" t="s">
        <v>26</v>
      </c>
      <c r="B22" s="4" t="s">
        <v>31</v>
      </c>
      <c r="C22">
        <v>2023</v>
      </c>
      <c r="D22" t="s">
        <v>10</v>
      </c>
      <c r="E22" t="s">
        <v>11</v>
      </c>
      <c r="F22" s="3" t="s">
        <v>21</v>
      </c>
      <c r="G22" t="s">
        <v>16</v>
      </c>
      <c r="H22" t="s">
        <v>16</v>
      </c>
      <c r="I22" t="s">
        <v>15</v>
      </c>
      <c r="M22" s="4" t="s">
        <v>20</v>
      </c>
      <c r="Q22" s="5">
        <v>10</v>
      </c>
      <c r="R22" s="6">
        <v>2.1442715700141441</v>
      </c>
      <c r="S22" s="8">
        <v>29.3</v>
      </c>
      <c r="T22" s="8">
        <v>0</v>
      </c>
      <c r="U22" s="7">
        <f>S22/VLOOKUP(M22,Constants!$A$2:$B$5,2,FALSE)</f>
        <v>4.6879999999999997</v>
      </c>
      <c r="V22" s="7">
        <f t="shared" si="0"/>
        <v>100.52345120226306</v>
      </c>
      <c r="W22" s="13">
        <f t="shared" si="1"/>
        <v>10.052345120226306</v>
      </c>
      <c r="X22" t="s">
        <v>37</v>
      </c>
      <c r="AD22" s="4"/>
      <c r="AH22" s="5"/>
      <c r="AI22" s="6"/>
      <c r="AJ22" s="7"/>
      <c r="AK22" s="7"/>
    </row>
    <row r="23" spans="1:37" ht="16" x14ac:dyDescent="0.35">
      <c r="A23" s="11" t="s">
        <v>26</v>
      </c>
      <c r="B23" s="4" t="s">
        <v>31</v>
      </c>
      <c r="C23">
        <v>2023</v>
      </c>
      <c r="D23" t="s">
        <v>10</v>
      </c>
      <c r="E23" t="s">
        <v>11</v>
      </c>
      <c r="F23" s="3" t="s">
        <v>21</v>
      </c>
      <c r="G23" t="s">
        <v>16</v>
      </c>
      <c r="H23" t="s">
        <v>16</v>
      </c>
      <c r="I23" t="s">
        <v>15</v>
      </c>
      <c r="M23" s="4" t="s">
        <v>18</v>
      </c>
      <c r="Q23" s="5">
        <v>10</v>
      </c>
      <c r="R23" s="6">
        <v>0.39603960396039595</v>
      </c>
      <c r="S23" s="8">
        <v>21.4</v>
      </c>
      <c r="T23" s="8">
        <v>0</v>
      </c>
      <c r="U23" s="7">
        <f>S23/VLOOKUP(M23,Constants!$A$2:$B$5,2,FALSE)</f>
        <v>3.4239999999999999</v>
      </c>
      <c r="V23" s="7">
        <f t="shared" si="0"/>
        <v>13.560396039603958</v>
      </c>
      <c r="W23" s="13">
        <f t="shared" si="1"/>
        <v>1.3560396039603959</v>
      </c>
      <c r="X23" t="s">
        <v>37</v>
      </c>
    </row>
    <row r="24" spans="1:37" ht="16" x14ac:dyDescent="0.35">
      <c r="A24" s="11" t="s">
        <v>25</v>
      </c>
      <c r="B24" s="4" t="s">
        <v>31</v>
      </c>
      <c r="C24">
        <v>2023</v>
      </c>
      <c r="D24" t="s">
        <v>10</v>
      </c>
      <c r="E24" t="s">
        <v>11</v>
      </c>
      <c r="F24" s="3" t="s">
        <v>21</v>
      </c>
      <c r="G24" t="s">
        <v>16</v>
      </c>
      <c r="H24" t="s">
        <v>16</v>
      </c>
      <c r="I24" t="s">
        <v>15</v>
      </c>
      <c r="M24" s="4" t="s">
        <v>18</v>
      </c>
      <c r="Q24" s="5">
        <v>75.2</v>
      </c>
      <c r="R24" s="6">
        <v>0.78642149929278637</v>
      </c>
      <c r="S24" s="8">
        <v>21.6</v>
      </c>
      <c r="T24" s="8">
        <v>0</v>
      </c>
      <c r="U24" s="7">
        <f>S24/VLOOKUP(M24,Constants!$A$2:$B$5,2,FALSE)</f>
        <v>3.4560000000000004</v>
      </c>
      <c r="V24" s="7">
        <f t="shared" si="0"/>
        <v>27.178727015558703</v>
      </c>
      <c r="W24" s="13">
        <f t="shared" si="1"/>
        <v>0.36141924222817423</v>
      </c>
      <c r="X24" t="s">
        <v>37</v>
      </c>
    </row>
    <row r="25" spans="1:37" ht="16" x14ac:dyDescent="0.35">
      <c r="A25" s="11" t="s">
        <v>24</v>
      </c>
      <c r="B25" s="4" t="s">
        <v>31</v>
      </c>
      <c r="C25">
        <v>2023</v>
      </c>
      <c r="D25" t="s">
        <v>10</v>
      </c>
      <c r="E25" t="s">
        <v>11</v>
      </c>
      <c r="F25" s="3" t="s">
        <v>21</v>
      </c>
      <c r="G25" t="s">
        <v>16</v>
      </c>
      <c r="H25" t="s">
        <v>16</v>
      </c>
      <c r="I25" t="s">
        <v>15</v>
      </c>
      <c r="M25" s="4" t="s">
        <v>18</v>
      </c>
      <c r="Q25" s="5">
        <v>175.2</v>
      </c>
      <c r="R25" s="6">
        <v>1.0862800565770863</v>
      </c>
      <c r="S25" s="8">
        <v>21.9</v>
      </c>
      <c r="T25" s="8">
        <v>0</v>
      </c>
      <c r="U25" s="7">
        <f>S25/VLOOKUP(M25,Constants!$A$2:$B$5,2,FALSE)</f>
        <v>3.5039999999999996</v>
      </c>
      <c r="V25" s="7">
        <f t="shared" si="0"/>
        <v>38.063253182461104</v>
      </c>
      <c r="W25" s="13">
        <f t="shared" si="1"/>
        <v>0.21725601131541727</v>
      </c>
      <c r="X25" t="s">
        <v>37</v>
      </c>
    </row>
    <row r="26" spans="1:37" ht="16" x14ac:dyDescent="0.35">
      <c r="A26" s="11" t="s">
        <v>26</v>
      </c>
      <c r="B26" s="4" t="s">
        <v>31</v>
      </c>
      <c r="C26">
        <v>2023</v>
      </c>
      <c r="D26" t="s">
        <v>10</v>
      </c>
      <c r="E26" t="s">
        <v>11</v>
      </c>
      <c r="F26" s="3" t="s">
        <v>21</v>
      </c>
      <c r="G26" t="s">
        <v>16</v>
      </c>
      <c r="H26" t="s">
        <v>16</v>
      </c>
      <c r="I26" t="s">
        <v>15</v>
      </c>
      <c r="M26" s="4" t="s">
        <v>19</v>
      </c>
      <c r="Q26" s="5">
        <v>10</v>
      </c>
      <c r="R26" s="6">
        <v>1.3125884016973124</v>
      </c>
      <c r="S26" s="9">
        <v>9.4</v>
      </c>
      <c r="T26" s="9">
        <v>2.2883671923874753</v>
      </c>
      <c r="U26" s="7">
        <f>S26/VLOOKUP(M26,Constants!$A$2:$B$5,2,FALSE)</f>
        <v>1.6755793226381461</v>
      </c>
      <c r="V26" s="7">
        <f t="shared" si="0"/>
        <v>21.993459850186696</v>
      </c>
      <c r="W26" s="13">
        <f t="shared" si="1"/>
        <v>2.1993459850186694</v>
      </c>
      <c r="X26">
        <v>60.53</v>
      </c>
    </row>
    <row r="27" spans="1:37" ht="16" x14ac:dyDescent="0.35">
      <c r="A27" s="11" t="s">
        <v>25</v>
      </c>
      <c r="B27" s="4" t="s">
        <v>31</v>
      </c>
      <c r="C27">
        <v>2023</v>
      </c>
      <c r="D27" t="s">
        <v>10</v>
      </c>
      <c r="E27" t="s">
        <v>11</v>
      </c>
      <c r="F27" s="3" t="s">
        <v>21</v>
      </c>
      <c r="G27" t="s">
        <v>16</v>
      </c>
      <c r="H27" t="s">
        <v>16</v>
      </c>
      <c r="I27" t="s">
        <v>15</v>
      </c>
      <c r="M27" s="4" t="s">
        <v>19</v>
      </c>
      <c r="Q27" s="5">
        <v>79.2</v>
      </c>
      <c r="R27" s="6">
        <v>2.5063649222065059</v>
      </c>
      <c r="S27" s="9">
        <v>11.2</v>
      </c>
      <c r="T27" s="9">
        <v>4.0408016005772573</v>
      </c>
      <c r="U27" s="7">
        <f>S27/VLOOKUP(M27,Constants!$A$2:$B$5,2,FALSE)</f>
        <v>1.9964349376114079</v>
      </c>
      <c r="V27" s="7">
        <f t="shared" si="0"/>
        <v>50.037944970967665</v>
      </c>
      <c r="W27" s="13">
        <f t="shared" si="1"/>
        <v>0.6317922344819149</v>
      </c>
      <c r="X27">
        <v>61.504999999999995</v>
      </c>
    </row>
    <row r="28" spans="1:37" ht="16" x14ac:dyDescent="0.35">
      <c r="A28" s="11" t="s">
        <v>24</v>
      </c>
      <c r="B28" s="4" t="s">
        <v>31</v>
      </c>
      <c r="C28">
        <v>2023</v>
      </c>
      <c r="D28" t="s">
        <v>10</v>
      </c>
      <c r="E28" t="s">
        <v>11</v>
      </c>
      <c r="F28" s="3" t="s">
        <v>21</v>
      </c>
      <c r="G28" t="s">
        <v>16</v>
      </c>
      <c r="H28" t="s">
        <v>16</v>
      </c>
      <c r="I28" t="s">
        <v>15</v>
      </c>
      <c r="M28" s="4" t="s">
        <v>19</v>
      </c>
      <c r="Q28" s="5">
        <v>146.19999999999999</v>
      </c>
      <c r="R28" s="6">
        <v>2.0367751060820369</v>
      </c>
      <c r="S28" s="9">
        <v>11.8</v>
      </c>
      <c r="T28" s="9">
        <v>3.7438038090268724</v>
      </c>
      <c r="U28" s="7">
        <f>S28/VLOOKUP(M28,Constants!$A$2:$B$5,2,FALSE)</f>
        <v>2.1033868092691623</v>
      </c>
      <c r="V28" s="7">
        <f t="shared" si="0"/>
        <v>42.841258915807551</v>
      </c>
      <c r="W28" s="13">
        <f t="shared" si="1"/>
        <v>0.29303186672918985</v>
      </c>
      <c r="X28">
        <v>52.884999999999998</v>
      </c>
    </row>
    <row r="29" spans="1:37" ht="16" x14ac:dyDescent="0.35">
      <c r="A29" s="11" t="s">
        <v>24</v>
      </c>
      <c r="B29" s="4" t="s">
        <v>31</v>
      </c>
      <c r="C29">
        <v>2023</v>
      </c>
      <c r="D29" t="s">
        <v>10</v>
      </c>
      <c r="E29" t="s">
        <v>11</v>
      </c>
      <c r="F29" s="3" t="s">
        <v>21</v>
      </c>
      <c r="G29" t="s">
        <v>16</v>
      </c>
      <c r="H29" t="s">
        <v>16</v>
      </c>
      <c r="I29" t="s">
        <v>15</v>
      </c>
      <c r="M29" s="4" t="s">
        <v>17</v>
      </c>
      <c r="Q29" s="5">
        <v>146.19999999999999</v>
      </c>
      <c r="R29" s="6">
        <v>2.1442715700141441</v>
      </c>
      <c r="S29" s="7">
        <v>11.6</v>
      </c>
      <c r="T29" s="7">
        <v>4.5131356953482769</v>
      </c>
      <c r="U29" s="7">
        <f>S29/VLOOKUP(M29,Constants!$A$2:$B$5,2,FALSE)</f>
        <v>2</v>
      </c>
      <c r="V29" s="7">
        <f t="shared" si="0"/>
        <v>42.885431400282883</v>
      </c>
      <c r="W29" s="13">
        <f t="shared" si="1"/>
        <v>0.2933340041059021</v>
      </c>
      <c r="X29" t="s">
        <v>37</v>
      </c>
    </row>
    <row r="30" spans="1:37" ht="16" x14ac:dyDescent="0.35">
      <c r="A30" s="11" t="s">
        <v>25</v>
      </c>
      <c r="B30" s="4" t="s">
        <v>31</v>
      </c>
      <c r="C30">
        <v>2023</v>
      </c>
      <c r="D30" t="s">
        <v>10</v>
      </c>
      <c r="E30" t="s">
        <v>11</v>
      </c>
      <c r="F30" s="3" t="s">
        <v>21</v>
      </c>
      <c r="G30" t="s">
        <v>16</v>
      </c>
      <c r="H30" t="s">
        <v>16</v>
      </c>
      <c r="I30" t="s">
        <v>15</v>
      </c>
      <c r="M30" s="4" t="s">
        <v>17</v>
      </c>
      <c r="Q30" s="5">
        <v>79.2</v>
      </c>
      <c r="R30" s="6">
        <v>2.2574257425742577</v>
      </c>
      <c r="S30" s="7">
        <v>10.1</v>
      </c>
      <c r="T30" s="7">
        <v>3.9294281983541337</v>
      </c>
      <c r="U30" s="7">
        <f>S30/VLOOKUP(M30,Constants!$A$2:$B$5,2,FALSE)</f>
        <v>1.7413793103448276</v>
      </c>
      <c r="V30" s="7">
        <f t="shared" si="0"/>
        <v>39.310344827586206</v>
      </c>
      <c r="W30" s="13">
        <f t="shared" si="1"/>
        <v>0.49634273772204807</v>
      </c>
      <c r="X30" t="s">
        <v>37</v>
      </c>
    </row>
    <row r="31" spans="1:37" ht="16" x14ac:dyDescent="0.35">
      <c r="A31" s="11" t="s">
        <v>26</v>
      </c>
      <c r="B31" s="4" t="s">
        <v>31</v>
      </c>
      <c r="C31">
        <v>2023</v>
      </c>
      <c r="D31" t="s">
        <v>10</v>
      </c>
      <c r="E31" t="s">
        <v>11</v>
      </c>
      <c r="F31" s="3" t="s">
        <v>21</v>
      </c>
      <c r="G31" t="s">
        <v>16</v>
      </c>
      <c r="H31" t="s">
        <v>16</v>
      </c>
      <c r="I31" t="s">
        <v>15</v>
      </c>
      <c r="M31" s="4" t="s">
        <v>17</v>
      </c>
      <c r="Q31" s="5">
        <v>10</v>
      </c>
      <c r="R31" s="6">
        <v>1.6011315417256011</v>
      </c>
      <c r="S31" s="7">
        <v>9.8000000000000007</v>
      </c>
      <c r="T31" s="7">
        <v>0.42999873529783739</v>
      </c>
      <c r="U31" s="7">
        <f>S31/VLOOKUP(M31,Constants!$A$2:$B$5,2,FALSE)</f>
        <v>1.6896551724137934</v>
      </c>
      <c r="V31" s="7">
        <f t="shared" si="0"/>
        <v>27.053601911915333</v>
      </c>
      <c r="W31" s="13">
        <f t="shared" si="1"/>
        <v>2.7053601911915335</v>
      </c>
      <c r="X31" t="s">
        <v>37</v>
      </c>
    </row>
    <row r="32" spans="1:37" ht="16" x14ac:dyDescent="0.35">
      <c r="A32" s="11" t="s">
        <v>24</v>
      </c>
      <c r="B32" s="4" t="s">
        <v>30</v>
      </c>
      <c r="C32">
        <v>2023</v>
      </c>
      <c r="D32" t="s">
        <v>10</v>
      </c>
      <c r="E32" t="s">
        <v>11</v>
      </c>
      <c r="F32" s="3" t="s">
        <v>21</v>
      </c>
      <c r="G32" t="s">
        <v>16</v>
      </c>
      <c r="H32" t="s">
        <v>16</v>
      </c>
      <c r="I32" t="s">
        <v>15</v>
      </c>
      <c r="M32" s="4" t="s">
        <v>19</v>
      </c>
      <c r="Q32" s="5">
        <v>146.19999999999999</v>
      </c>
      <c r="R32" s="6">
        <v>4.3485714285714288</v>
      </c>
      <c r="S32" s="9">
        <v>11.1</v>
      </c>
      <c r="T32" s="9">
        <v>2.8089070004366179</v>
      </c>
      <c r="U32" s="7">
        <f>S32/VLOOKUP(M32,Constants!$A$2:$B$5,2,FALSE)</f>
        <v>1.9786096256684491</v>
      </c>
      <c r="V32" s="7">
        <f t="shared" si="0"/>
        <v>86.04125286478228</v>
      </c>
      <c r="W32" s="13">
        <f t="shared" si="1"/>
        <v>0.58851746145541917</v>
      </c>
      <c r="X32">
        <v>74.27</v>
      </c>
    </row>
    <row r="33" spans="1:24" ht="16" x14ac:dyDescent="0.35">
      <c r="A33" s="11" t="s">
        <v>26</v>
      </c>
      <c r="B33" s="4" t="s">
        <v>30</v>
      </c>
      <c r="C33">
        <v>2023</v>
      </c>
      <c r="D33" t="s">
        <v>10</v>
      </c>
      <c r="E33" t="s">
        <v>11</v>
      </c>
      <c r="F33" s="3" t="s">
        <v>21</v>
      </c>
      <c r="G33" t="s">
        <v>16</v>
      </c>
      <c r="H33" t="s">
        <v>16</v>
      </c>
      <c r="I33" t="s">
        <v>15</v>
      </c>
      <c r="M33" s="4" t="s">
        <v>19</v>
      </c>
      <c r="Q33" s="5">
        <v>10</v>
      </c>
      <c r="R33" s="6">
        <v>2.9485714285714288</v>
      </c>
      <c r="S33" s="9">
        <v>9.8000000000000007</v>
      </c>
      <c r="T33" s="9">
        <v>1.3256288239292997</v>
      </c>
      <c r="U33" s="7">
        <f>S33/VLOOKUP(M33,Constants!$A$2:$B$5,2,FALSE)</f>
        <v>1.7468805704099821</v>
      </c>
      <c r="V33" s="7">
        <f t="shared" si="0"/>
        <v>51.508021390374331</v>
      </c>
      <c r="W33" s="13">
        <f t="shared" si="1"/>
        <v>5.1508021390374328</v>
      </c>
      <c r="X33">
        <v>48.55</v>
      </c>
    </row>
    <row r="34" spans="1:24" ht="16" x14ac:dyDescent="0.35">
      <c r="A34" s="11" t="s">
        <v>25</v>
      </c>
      <c r="B34" s="4" t="s">
        <v>30</v>
      </c>
      <c r="C34">
        <v>2023</v>
      </c>
      <c r="D34" t="s">
        <v>10</v>
      </c>
      <c r="E34" t="s">
        <v>11</v>
      </c>
      <c r="F34" s="3" t="s">
        <v>21</v>
      </c>
      <c r="G34" t="s">
        <v>16</v>
      </c>
      <c r="H34" t="s">
        <v>16</v>
      </c>
      <c r="I34" t="s">
        <v>15</v>
      </c>
      <c r="M34" s="4" t="s">
        <v>19</v>
      </c>
      <c r="Q34" s="5">
        <v>79.2</v>
      </c>
      <c r="R34" s="6">
        <v>4.16</v>
      </c>
      <c r="S34" s="9">
        <v>10.4</v>
      </c>
      <c r="T34" s="9">
        <v>2.546074358154895</v>
      </c>
      <c r="U34" s="7">
        <f>S34/VLOOKUP(M34,Constants!$A$2:$B$5,2,FALSE)</f>
        <v>1.8538324420677361</v>
      </c>
      <c r="V34" s="7">
        <f t="shared" si="0"/>
        <v>77.11942959001783</v>
      </c>
      <c r="W34" s="13">
        <f t="shared" si="1"/>
        <v>0.97373017159113417</v>
      </c>
      <c r="X34">
        <v>60.539999999999992</v>
      </c>
    </row>
    <row r="35" spans="1:24" ht="16" x14ac:dyDescent="0.35">
      <c r="A35" s="11" t="s">
        <v>25</v>
      </c>
      <c r="B35" s="4" t="s">
        <v>31</v>
      </c>
      <c r="C35">
        <v>2023</v>
      </c>
      <c r="D35" t="s">
        <v>10</v>
      </c>
      <c r="E35" t="s">
        <v>11</v>
      </c>
      <c r="F35" s="3" t="s">
        <v>21</v>
      </c>
      <c r="G35" t="s">
        <v>16</v>
      </c>
      <c r="H35" t="s">
        <v>16</v>
      </c>
      <c r="I35" t="s">
        <v>15</v>
      </c>
      <c r="M35" s="4" t="s">
        <v>20</v>
      </c>
      <c r="Q35" s="5">
        <v>10</v>
      </c>
      <c r="R35" s="6">
        <v>2.8114285714285714</v>
      </c>
      <c r="S35" s="8">
        <v>29.3</v>
      </c>
      <c r="T35" s="8">
        <v>0</v>
      </c>
      <c r="U35" s="7">
        <f>S35/VLOOKUP(M35,Constants!$A$2:$B$5,2,FALSE)</f>
        <v>4.6879999999999997</v>
      </c>
      <c r="V35" s="7">
        <f t="shared" si="0"/>
        <v>131.7997714285714</v>
      </c>
      <c r="W35" s="13">
        <f t="shared" si="1"/>
        <v>13.17997714285714</v>
      </c>
      <c r="X35" t="s">
        <v>37</v>
      </c>
    </row>
    <row r="36" spans="1:24" ht="16" x14ac:dyDescent="0.35">
      <c r="A36" s="11" t="s">
        <v>24</v>
      </c>
      <c r="B36" s="4" t="s">
        <v>31</v>
      </c>
      <c r="C36">
        <v>2023</v>
      </c>
      <c r="D36" t="s">
        <v>10</v>
      </c>
      <c r="E36" t="s">
        <v>11</v>
      </c>
      <c r="F36" s="3" t="s">
        <v>21</v>
      </c>
      <c r="G36" t="s">
        <v>16</v>
      </c>
      <c r="H36" t="s">
        <v>16</v>
      </c>
      <c r="I36" t="s">
        <v>15</v>
      </c>
      <c r="M36" s="4" t="s">
        <v>20</v>
      </c>
      <c r="Q36" s="5">
        <v>10</v>
      </c>
      <c r="R36" s="6">
        <v>3.3314285714285714</v>
      </c>
      <c r="S36" s="8">
        <v>33.200000000000003</v>
      </c>
      <c r="T36" s="8">
        <v>0</v>
      </c>
      <c r="U36" s="7">
        <f>S36/VLOOKUP(M36,Constants!$A$2:$B$5,2,FALSE)</f>
        <v>5.3120000000000003</v>
      </c>
      <c r="V36" s="7">
        <f t="shared" si="0"/>
        <v>176.96548571428571</v>
      </c>
      <c r="W36" s="13">
        <f t="shared" si="1"/>
        <v>17.696548571428572</v>
      </c>
      <c r="X36" t="s">
        <v>37</v>
      </c>
    </row>
    <row r="37" spans="1:24" ht="16" x14ac:dyDescent="0.35">
      <c r="A37" s="11" t="s">
        <v>26</v>
      </c>
      <c r="B37" s="4" t="s">
        <v>31</v>
      </c>
      <c r="C37">
        <v>2023</v>
      </c>
      <c r="D37" t="s">
        <v>10</v>
      </c>
      <c r="E37" t="s">
        <v>11</v>
      </c>
      <c r="F37" s="3" t="s">
        <v>21</v>
      </c>
      <c r="G37" t="s">
        <v>16</v>
      </c>
      <c r="H37" t="s">
        <v>16</v>
      </c>
      <c r="I37" t="s">
        <v>15</v>
      </c>
      <c r="M37" s="4" t="s">
        <v>20</v>
      </c>
      <c r="Q37" s="5">
        <v>10</v>
      </c>
      <c r="R37" s="6">
        <v>3.2685714285714287</v>
      </c>
      <c r="S37" s="8">
        <v>28.9</v>
      </c>
      <c r="T37" s="8">
        <v>0</v>
      </c>
      <c r="U37" s="7">
        <f>S37/VLOOKUP(M37,Constants!$A$2:$B$5,2,FALSE)</f>
        <v>4.6239999999999997</v>
      </c>
      <c r="V37" s="7">
        <f t="shared" si="0"/>
        <v>151.13874285714286</v>
      </c>
      <c r="W37" s="13">
        <f t="shared" si="1"/>
        <v>15.113874285714285</v>
      </c>
      <c r="X37" t="s">
        <v>37</v>
      </c>
    </row>
    <row r="38" spans="1:24" ht="16" x14ac:dyDescent="0.35">
      <c r="A38" s="11" t="s">
        <v>26</v>
      </c>
      <c r="B38" s="4" t="s">
        <v>31</v>
      </c>
      <c r="C38">
        <v>2023</v>
      </c>
      <c r="D38" t="s">
        <v>10</v>
      </c>
      <c r="E38" t="s">
        <v>11</v>
      </c>
      <c r="F38" s="3" t="s">
        <v>21</v>
      </c>
      <c r="G38" t="s">
        <v>16</v>
      </c>
      <c r="H38" t="s">
        <v>16</v>
      </c>
      <c r="I38" t="s">
        <v>15</v>
      </c>
      <c r="M38" s="4" t="s">
        <v>18</v>
      </c>
      <c r="Q38" s="5">
        <v>10</v>
      </c>
      <c r="R38" s="6">
        <v>0.96</v>
      </c>
      <c r="S38" s="8">
        <v>18.899999999999999</v>
      </c>
      <c r="T38" s="8">
        <v>0</v>
      </c>
      <c r="U38" s="7">
        <f>S38/VLOOKUP(M38,Constants!$A$2:$B$5,2,FALSE)</f>
        <v>3.0239999999999996</v>
      </c>
      <c r="V38" s="7">
        <f t="shared" si="0"/>
        <v>29.030399999999993</v>
      </c>
      <c r="W38" s="13">
        <f t="shared" si="1"/>
        <v>2.9030399999999994</v>
      </c>
      <c r="X38" t="s">
        <v>37</v>
      </c>
    </row>
    <row r="39" spans="1:24" ht="16" x14ac:dyDescent="0.35">
      <c r="A39" s="11" t="s">
        <v>24</v>
      </c>
      <c r="B39" s="4" t="s">
        <v>31</v>
      </c>
      <c r="C39">
        <v>2023</v>
      </c>
      <c r="D39" t="s">
        <v>10</v>
      </c>
      <c r="E39" t="s">
        <v>11</v>
      </c>
      <c r="F39" s="3" t="s">
        <v>21</v>
      </c>
      <c r="G39" t="s">
        <v>16</v>
      </c>
      <c r="H39" t="s">
        <v>16</v>
      </c>
      <c r="I39" t="s">
        <v>15</v>
      </c>
      <c r="M39" s="4" t="s">
        <v>18</v>
      </c>
      <c r="Q39" s="5">
        <v>175.2</v>
      </c>
      <c r="R39" s="6">
        <v>1.5257142857142858</v>
      </c>
      <c r="S39" s="8">
        <v>20</v>
      </c>
      <c r="T39" s="8">
        <v>0</v>
      </c>
      <c r="U39" s="7">
        <f>S39/VLOOKUP(M39,Constants!$A$2:$B$5,2,FALSE)</f>
        <v>3.2</v>
      </c>
      <c r="V39" s="7">
        <f t="shared" si="0"/>
        <v>48.822857142857146</v>
      </c>
      <c r="W39" s="13">
        <f t="shared" si="1"/>
        <v>0.27866927592954993</v>
      </c>
      <c r="X39" t="s">
        <v>37</v>
      </c>
    </row>
    <row r="40" spans="1:24" ht="16" x14ac:dyDescent="0.35">
      <c r="A40" s="11" t="s">
        <v>25</v>
      </c>
      <c r="B40" s="4" t="s">
        <v>31</v>
      </c>
      <c r="C40">
        <v>2023</v>
      </c>
      <c r="D40" t="s">
        <v>10</v>
      </c>
      <c r="E40" t="s">
        <v>11</v>
      </c>
      <c r="F40" s="3" t="s">
        <v>21</v>
      </c>
      <c r="G40" t="s">
        <v>16</v>
      </c>
      <c r="H40" t="s">
        <v>16</v>
      </c>
      <c r="I40" t="s">
        <v>15</v>
      </c>
      <c r="M40" s="4" t="s">
        <v>18</v>
      </c>
      <c r="Q40" s="5">
        <v>75.2</v>
      </c>
      <c r="R40" s="6">
        <v>1.382857142857143</v>
      </c>
      <c r="S40" s="8">
        <v>18.8</v>
      </c>
      <c r="T40" s="8">
        <v>0</v>
      </c>
      <c r="U40" s="7">
        <f>S40/VLOOKUP(M40,Constants!$A$2:$B$5,2,FALSE)</f>
        <v>3.008</v>
      </c>
      <c r="V40" s="7">
        <f t="shared" si="0"/>
        <v>41.596342857142858</v>
      </c>
      <c r="W40" s="13">
        <f t="shared" si="1"/>
        <v>0.55314285714285716</v>
      </c>
      <c r="X40" t="s">
        <v>37</v>
      </c>
    </row>
    <row r="41" spans="1:24" ht="16" x14ac:dyDescent="0.35">
      <c r="A41" s="11" t="s">
        <v>26</v>
      </c>
      <c r="B41" s="4" t="s">
        <v>29</v>
      </c>
      <c r="C41">
        <v>2023</v>
      </c>
      <c r="D41" t="s">
        <v>10</v>
      </c>
      <c r="E41" t="s">
        <v>11</v>
      </c>
      <c r="F41" s="3" t="s">
        <v>21</v>
      </c>
      <c r="G41" t="s">
        <v>16</v>
      </c>
      <c r="H41" t="s">
        <v>16</v>
      </c>
      <c r="I41" t="s">
        <v>15</v>
      </c>
      <c r="M41" s="4" t="s">
        <v>18</v>
      </c>
      <c r="Q41" s="5">
        <v>10</v>
      </c>
      <c r="R41" s="6">
        <v>1.3771428571428574</v>
      </c>
      <c r="S41" s="8">
        <v>18.2</v>
      </c>
      <c r="T41" s="8">
        <v>0</v>
      </c>
      <c r="U41" s="7">
        <f>S41/VLOOKUP(M41,Constants!$A$2:$B$5,2,FALSE)</f>
        <v>2.9119999999999999</v>
      </c>
      <c r="V41" s="7">
        <f t="shared" si="0"/>
        <v>40.10240000000001</v>
      </c>
      <c r="W41" s="13">
        <f t="shared" si="1"/>
        <v>4.0102400000000014</v>
      </c>
      <c r="X41">
        <v>80.02000000000001</v>
      </c>
    </row>
    <row r="42" spans="1:24" ht="16" x14ac:dyDescent="0.35">
      <c r="A42" s="11" t="s">
        <v>25</v>
      </c>
      <c r="B42" s="4" t="s">
        <v>29</v>
      </c>
      <c r="C42">
        <v>2023</v>
      </c>
      <c r="D42" t="s">
        <v>10</v>
      </c>
      <c r="E42" t="s">
        <v>11</v>
      </c>
      <c r="F42" s="3" t="s">
        <v>21</v>
      </c>
      <c r="G42" t="s">
        <v>16</v>
      </c>
      <c r="H42" t="s">
        <v>16</v>
      </c>
      <c r="I42" t="s">
        <v>15</v>
      </c>
      <c r="M42" s="4" t="s">
        <v>18</v>
      </c>
      <c r="Q42" s="5">
        <v>75.2</v>
      </c>
      <c r="R42" s="6">
        <v>1.7371428571428571</v>
      </c>
      <c r="S42" s="8">
        <v>19.399999999999999</v>
      </c>
      <c r="T42" s="8">
        <v>0</v>
      </c>
      <c r="U42" s="7">
        <f>S42/VLOOKUP(M42,Constants!$A$2:$B$5,2,FALSE)</f>
        <v>3.1039999999999996</v>
      </c>
      <c r="V42" s="7">
        <f t="shared" si="0"/>
        <v>53.920914285714282</v>
      </c>
      <c r="W42" s="13">
        <f t="shared" si="1"/>
        <v>0.71703343465045588</v>
      </c>
      <c r="X42">
        <v>64.215000000000003</v>
      </c>
    </row>
    <row r="43" spans="1:24" ht="16" x14ac:dyDescent="0.35">
      <c r="A43" s="11" t="s">
        <v>24</v>
      </c>
      <c r="B43" s="4" t="s">
        <v>29</v>
      </c>
      <c r="C43">
        <v>2023</v>
      </c>
      <c r="D43" t="s">
        <v>10</v>
      </c>
      <c r="E43" t="s">
        <v>11</v>
      </c>
      <c r="F43" s="3" t="s">
        <v>21</v>
      </c>
      <c r="G43" t="s">
        <v>16</v>
      </c>
      <c r="H43" t="s">
        <v>16</v>
      </c>
      <c r="I43" t="s">
        <v>15</v>
      </c>
      <c r="M43" s="4" t="s">
        <v>18</v>
      </c>
      <c r="Q43" s="5">
        <v>175.2</v>
      </c>
      <c r="R43" s="6">
        <v>1.96</v>
      </c>
      <c r="S43" s="8">
        <v>20.3</v>
      </c>
      <c r="T43" s="8">
        <v>0</v>
      </c>
      <c r="U43" s="7">
        <f>S43/VLOOKUP(M43,Constants!$A$2:$B$5,2,FALSE)</f>
        <v>3.2480000000000002</v>
      </c>
      <c r="V43" s="7">
        <f t="shared" si="0"/>
        <v>63.660800000000002</v>
      </c>
      <c r="W43" s="13">
        <f t="shared" si="1"/>
        <v>0.36336073059360735</v>
      </c>
      <c r="X43">
        <v>116.25999999999999</v>
      </c>
    </row>
    <row r="44" spans="1:24" ht="16" x14ac:dyDescent="0.35">
      <c r="A44" s="11" t="s">
        <v>24</v>
      </c>
      <c r="B44" s="4" t="s">
        <v>31</v>
      </c>
      <c r="C44">
        <v>2023</v>
      </c>
      <c r="D44" t="s">
        <v>10</v>
      </c>
      <c r="E44" t="s">
        <v>11</v>
      </c>
      <c r="F44" s="3" t="s">
        <v>21</v>
      </c>
      <c r="G44" t="s">
        <v>16</v>
      </c>
      <c r="H44" t="s">
        <v>16</v>
      </c>
      <c r="I44" t="s">
        <v>15</v>
      </c>
      <c r="M44" s="4" t="s">
        <v>17</v>
      </c>
      <c r="Q44" s="5">
        <v>146.19999999999999</v>
      </c>
      <c r="R44" s="6">
        <v>3.822857142857143</v>
      </c>
      <c r="S44" s="7">
        <v>11</v>
      </c>
      <c r="T44" s="7">
        <v>2.47328429146611</v>
      </c>
      <c r="U44" s="7">
        <f>S44/VLOOKUP(M44,Constants!$A$2:$B$5,2,FALSE)</f>
        <v>1.896551724137931</v>
      </c>
      <c r="V44" s="7">
        <f t="shared" si="0"/>
        <v>72.502463054187203</v>
      </c>
      <c r="W44" s="13">
        <f t="shared" si="1"/>
        <v>0.49591287998760059</v>
      </c>
      <c r="X44" t="s">
        <v>37</v>
      </c>
    </row>
    <row r="45" spans="1:24" ht="16" x14ac:dyDescent="0.35">
      <c r="A45" s="11" t="s">
        <v>25</v>
      </c>
      <c r="B45" s="4" t="s">
        <v>31</v>
      </c>
      <c r="C45">
        <v>2023</v>
      </c>
      <c r="D45" t="s">
        <v>10</v>
      </c>
      <c r="E45" t="s">
        <v>11</v>
      </c>
      <c r="F45" s="3" t="s">
        <v>21</v>
      </c>
      <c r="G45" t="s">
        <v>16</v>
      </c>
      <c r="H45" t="s">
        <v>16</v>
      </c>
      <c r="I45" t="s">
        <v>15</v>
      </c>
      <c r="M45" s="4" t="s">
        <v>17</v>
      </c>
      <c r="Q45" s="5">
        <v>79.2</v>
      </c>
      <c r="R45" s="6">
        <v>3.0342857142857138</v>
      </c>
      <c r="S45" s="7">
        <v>9.8000000000000007</v>
      </c>
      <c r="T45" s="7">
        <v>3.9996082016455534</v>
      </c>
      <c r="U45" s="7">
        <f>S45/VLOOKUP(M45,Constants!$A$2:$B$5,2,FALSE)</f>
        <v>1.6896551724137934</v>
      </c>
      <c r="V45" s="7">
        <f t="shared" si="0"/>
        <v>51.268965517241377</v>
      </c>
      <c r="W45" s="13">
        <f t="shared" si="1"/>
        <v>0.64733542319749215</v>
      </c>
      <c r="X45" t="s">
        <v>37</v>
      </c>
    </row>
    <row r="46" spans="1:24" ht="16" x14ac:dyDescent="0.35">
      <c r="A46" s="11" t="s">
        <v>26</v>
      </c>
      <c r="B46" s="4" t="s">
        <v>31</v>
      </c>
      <c r="C46">
        <v>2023</v>
      </c>
      <c r="D46" t="s">
        <v>10</v>
      </c>
      <c r="E46" t="s">
        <v>11</v>
      </c>
      <c r="F46" s="3" t="s">
        <v>21</v>
      </c>
      <c r="G46" t="s">
        <v>16</v>
      </c>
      <c r="H46" t="s">
        <v>16</v>
      </c>
      <c r="I46" t="s">
        <v>15</v>
      </c>
      <c r="M46" s="4" t="s">
        <v>17</v>
      </c>
      <c r="Q46" s="5">
        <v>10</v>
      </c>
      <c r="R46" s="6">
        <v>3.3542857142857141</v>
      </c>
      <c r="S46" s="7">
        <v>9.1999999999999993</v>
      </c>
      <c r="T46" s="7">
        <v>2.1408839779005526</v>
      </c>
      <c r="U46" s="7">
        <f>S46/VLOOKUP(M46,Constants!$A$2:$B$5,2,FALSE)</f>
        <v>1.586206896551724</v>
      </c>
      <c r="V46" s="7">
        <f t="shared" si="0"/>
        <v>53.205911330049254</v>
      </c>
      <c r="W46" s="13">
        <f t="shared" si="1"/>
        <v>5.3205911330049256</v>
      </c>
      <c r="X46" t="s">
        <v>37</v>
      </c>
    </row>
    <row r="47" spans="1:24" ht="16" x14ac:dyDescent="0.35">
      <c r="A47" s="11" t="s">
        <v>25</v>
      </c>
      <c r="B47" s="4" t="s">
        <v>29</v>
      </c>
      <c r="C47">
        <v>2023</v>
      </c>
      <c r="D47" t="s">
        <v>10</v>
      </c>
      <c r="E47" t="s">
        <v>11</v>
      </c>
      <c r="F47" s="3" t="s">
        <v>21</v>
      </c>
      <c r="G47" t="s">
        <v>16</v>
      </c>
      <c r="H47" t="s">
        <v>16</v>
      </c>
      <c r="I47" t="s">
        <v>15</v>
      </c>
      <c r="M47" s="4" t="s">
        <v>17</v>
      </c>
      <c r="Q47" s="5">
        <v>79.2</v>
      </c>
      <c r="R47" s="6">
        <v>3.4628571428571426</v>
      </c>
      <c r="S47" s="7">
        <v>9.6999999999999993</v>
      </c>
      <c r="T47" s="7">
        <v>2.9491833030852992</v>
      </c>
      <c r="U47" s="7">
        <f>S47/VLOOKUP(M47,Constants!$A$2:$B$5,2,FALSE)</f>
        <v>1.6724137931034482</v>
      </c>
      <c r="V47" s="7">
        <f t="shared" si="0"/>
        <v>57.913300492610837</v>
      </c>
      <c r="W47" s="13">
        <f t="shared" si="1"/>
        <v>0.73122854157336914</v>
      </c>
      <c r="X47" t="s">
        <v>37</v>
      </c>
    </row>
    <row r="48" spans="1:24" ht="16" x14ac:dyDescent="0.35">
      <c r="A48" s="11" t="s">
        <v>26</v>
      </c>
      <c r="B48" s="4" t="s">
        <v>29</v>
      </c>
      <c r="C48">
        <v>2023</v>
      </c>
      <c r="D48" t="s">
        <v>10</v>
      </c>
      <c r="E48" t="s">
        <v>11</v>
      </c>
      <c r="F48" s="3" t="s">
        <v>21</v>
      </c>
      <c r="G48" t="s">
        <v>16</v>
      </c>
      <c r="H48" t="s">
        <v>16</v>
      </c>
      <c r="I48" t="s">
        <v>15</v>
      </c>
      <c r="M48" s="4" t="s">
        <v>17</v>
      </c>
      <c r="Q48" s="5">
        <v>10</v>
      </c>
      <c r="R48" s="6">
        <v>2.1714285714285713</v>
      </c>
      <c r="S48" s="7">
        <v>9.4</v>
      </c>
      <c r="T48" s="7">
        <v>2.8840688107703816</v>
      </c>
      <c r="U48" s="7">
        <f>S48/VLOOKUP(M48,Constants!$A$2:$B$5,2,FALSE)</f>
        <v>1.6206896551724139</v>
      </c>
      <c r="V48" s="7">
        <f t="shared" si="0"/>
        <v>35.192118226600989</v>
      </c>
      <c r="W48" s="13">
        <f t="shared" si="1"/>
        <v>3.519211822660099</v>
      </c>
      <c r="X48" t="s">
        <v>37</v>
      </c>
    </row>
    <row r="49" spans="1:24" ht="16" x14ac:dyDescent="0.35">
      <c r="A49" s="11" t="s">
        <v>24</v>
      </c>
      <c r="B49" s="4" t="s">
        <v>29</v>
      </c>
      <c r="C49">
        <v>2023</v>
      </c>
      <c r="D49" t="s">
        <v>10</v>
      </c>
      <c r="E49" t="s">
        <v>11</v>
      </c>
      <c r="F49" s="3" t="s">
        <v>21</v>
      </c>
      <c r="G49" t="s">
        <v>16</v>
      </c>
      <c r="H49" t="s">
        <v>16</v>
      </c>
      <c r="I49" t="s">
        <v>15</v>
      </c>
      <c r="M49" s="4" t="s">
        <v>17</v>
      </c>
      <c r="Q49" s="5">
        <v>146.19999999999999</v>
      </c>
      <c r="R49" s="6">
        <v>3.4514285714285715</v>
      </c>
      <c r="S49" s="7">
        <v>10.3</v>
      </c>
      <c r="T49" s="7">
        <v>2.717129071170084</v>
      </c>
      <c r="U49" s="7">
        <f>S49/VLOOKUP(M49,Constants!$A$2:$B$5,2,FALSE)</f>
        <v>1.7758620689655173</v>
      </c>
      <c r="V49" s="7">
        <f t="shared" si="0"/>
        <v>61.292610837438431</v>
      </c>
      <c r="W49" s="13">
        <f t="shared" si="1"/>
        <v>0.41923810422324509</v>
      </c>
      <c r="X49">
        <v>74.319999999999993</v>
      </c>
    </row>
    <row r="50" spans="1:24" ht="16" x14ac:dyDescent="0.35">
      <c r="A50" s="11" t="s">
        <v>24</v>
      </c>
      <c r="B50" s="4" t="s">
        <v>31</v>
      </c>
      <c r="C50">
        <v>2023</v>
      </c>
      <c r="D50" t="s">
        <v>10</v>
      </c>
      <c r="E50" t="s">
        <v>11</v>
      </c>
      <c r="F50" s="3" t="s">
        <v>21</v>
      </c>
      <c r="G50" t="s">
        <v>16</v>
      </c>
      <c r="H50" t="s">
        <v>16</v>
      </c>
      <c r="I50" t="s">
        <v>15</v>
      </c>
      <c r="M50" s="4" t="s">
        <v>19</v>
      </c>
      <c r="Q50" s="5">
        <v>146.19999999999999</v>
      </c>
      <c r="R50" s="6">
        <v>2.6</v>
      </c>
      <c r="S50" s="9">
        <v>11.6</v>
      </c>
      <c r="T50" s="9">
        <v>8.8194604565367776</v>
      </c>
      <c r="U50" s="7">
        <f>S50/VLOOKUP(M50,Constants!$A$2:$B$5,2,FALSE)</f>
        <v>2.0677361853832439</v>
      </c>
      <c r="V50" s="7">
        <f t="shared" si="0"/>
        <v>53.761140819964346</v>
      </c>
      <c r="W50" s="13">
        <f t="shared" si="1"/>
        <v>0.36772326142246475</v>
      </c>
      <c r="X50" t="s">
        <v>37</v>
      </c>
    </row>
    <row r="51" spans="1:24" ht="16" x14ac:dyDescent="0.35">
      <c r="A51" s="11" t="s">
        <v>26</v>
      </c>
      <c r="B51" s="4" t="s">
        <v>31</v>
      </c>
      <c r="C51">
        <v>2023</v>
      </c>
      <c r="D51" t="s">
        <v>10</v>
      </c>
      <c r="E51" t="s">
        <v>11</v>
      </c>
      <c r="F51" s="3" t="s">
        <v>21</v>
      </c>
      <c r="G51" t="s">
        <v>16</v>
      </c>
      <c r="H51" t="s">
        <v>16</v>
      </c>
      <c r="I51" t="s">
        <v>15</v>
      </c>
      <c r="M51" s="4" t="s">
        <v>19</v>
      </c>
      <c r="Q51" s="5">
        <v>10</v>
      </c>
      <c r="R51" s="6">
        <v>1.5257142857142858</v>
      </c>
      <c r="S51" s="9">
        <v>9.6</v>
      </c>
      <c r="T51" s="9">
        <v>3.7365155664859429</v>
      </c>
      <c r="U51" s="7">
        <f>S51/VLOOKUP(M51,Constants!$A$2:$B$5,2,FALSE)</f>
        <v>1.7112299465240639</v>
      </c>
      <c r="V51" s="7">
        <f t="shared" si="0"/>
        <v>26.108479755538575</v>
      </c>
      <c r="W51" s="13">
        <f t="shared" si="1"/>
        <v>2.6108479755538574</v>
      </c>
      <c r="X51" t="s">
        <v>37</v>
      </c>
    </row>
    <row r="52" spans="1:24" ht="16" x14ac:dyDescent="0.35">
      <c r="A52" s="11" t="s">
        <v>25</v>
      </c>
      <c r="B52" s="4" t="s">
        <v>31</v>
      </c>
      <c r="C52">
        <v>2023</v>
      </c>
      <c r="D52" t="s">
        <v>10</v>
      </c>
      <c r="E52" t="s">
        <v>11</v>
      </c>
      <c r="F52" s="3" t="s">
        <v>21</v>
      </c>
      <c r="G52" t="s">
        <v>16</v>
      </c>
      <c r="H52" t="s">
        <v>16</v>
      </c>
      <c r="I52" t="s">
        <v>15</v>
      </c>
      <c r="M52" s="4" t="s">
        <v>19</v>
      </c>
      <c r="Q52" s="5">
        <v>79.2</v>
      </c>
      <c r="R52" s="6">
        <v>3.1657142857142855</v>
      </c>
      <c r="S52" s="9">
        <v>10.3</v>
      </c>
      <c r="T52" s="9">
        <v>3.7390904915020675</v>
      </c>
      <c r="U52" s="7">
        <f>S52/VLOOKUP(M52,Constants!$A$2:$B$5,2,FALSE)</f>
        <v>1.8360071301247771</v>
      </c>
      <c r="V52" s="7">
        <f t="shared" si="0"/>
        <v>58.122740005092936</v>
      </c>
      <c r="W52" s="13">
        <f t="shared" si="1"/>
        <v>0.7338729798622845</v>
      </c>
      <c r="X52" t="s">
        <v>37</v>
      </c>
    </row>
    <row r="53" spans="1:24" ht="16" x14ac:dyDescent="0.35">
      <c r="A53" s="11" t="s">
        <v>25</v>
      </c>
      <c r="B53" s="4" t="s">
        <v>30</v>
      </c>
      <c r="C53">
        <v>2023</v>
      </c>
      <c r="D53" t="s">
        <v>10</v>
      </c>
      <c r="E53" t="s">
        <v>11</v>
      </c>
      <c r="F53" s="3" t="s">
        <v>21</v>
      </c>
      <c r="G53" t="s">
        <v>16</v>
      </c>
      <c r="H53" t="s">
        <v>16</v>
      </c>
      <c r="I53" t="s">
        <v>15</v>
      </c>
      <c r="M53" s="4" t="s">
        <v>18</v>
      </c>
      <c r="Q53" s="5">
        <v>75.2</v>
      </c>
      <c r="R53" s="6">
        <v>0.92000000000000015</v>
      </c>
      <c r="S53" s="8">
        <v>21.4</v>
      </c>
      <c r="T53" s="8">
        <v>0</v>
      </c>
      <c r="U53" s="7">
        <f>S53/VLOOKUP(M53,Constants!$A$2:$B$5,2,FALSE)</f>
        <v>3.4239999999999999</v>
      </c>
      <c r="V53" s="7">
        <f t="shared" si="0"/>
        <v>31.500800000000002</v>
      </c>
      <c r="W53" s="13">
        <f t="shared" si="1"/>
        <v>0.41889361702127659</v>
      </c>
      <c r="X53" t="s">
        <v>37</v>
      </c>
    </row>
    <row r="54" spans="1:24" ht="16" x14ac:dyDescent="0.35">
      <c r="A54" s="11" t="s">
        <v>26</v>
      </c>
      <c r="B54" s="4" t="s">
        <v>30</v>
      </c>
      <c r="C54">
        <v>2023</v>
      </c>
      <c r="D54" t="s">
        <v>10</v>
      </c>
      <c r="E54" t="s">
        <v>11</v>
      </c>
      <c r="F54" s="3" t="s">
        <v>21</v>
      </c>
      <c r="G54" t="s">
        <v>16</v>
      </c>
      <c r="H54" t="s">
        <v>16</v>
      </c>
      <c r="I54" t="s">
        <v>15</v>
      </c>
      <c r="M54" s="4" t="s">
        <v>18</v>
      </c>
      <c r="Q54" s="5">
        <v>10</v>
      </c>
      <c r="R54" s="6">
        <v>0.32</v>
      </c>
      <c r="S54" s="8">
        <v>20.8</v>
      </c>
      <c r="T54" s="8">
        <v>0</v>
      </c>
      <c r="U54" s="7">
        <f>S54/VLOOKUP(M54,Constants!$A$2:$B$5,2,FALSE)</f>
        <v>3.3280000000000003</v>
      </c>
      <c r="V54" s="7">
        <f t="shared" si="0"/>
        <v>10.649600000000001</v>
      </c>
      <c r="W54" s="13">
        <f t="shared" si="1"/>
        <v>1.0649600000000001</v>
      </c>
      <c r="X54" t="s">
        <v>37</v>
      </c>
    </row>
    <row r="55" spans="1:24" ht="16" x14ac:dyDescent="0.35">
      <c r="A55" s="11" t="s">
        <v>24</v>
      </c>
      <c r="B55" s="4" t="s">
        <v>30</v>
      </c>
      <c r="C55">
        <v>2023</v>
      </c>
      <c r="D55" t="s">
        <v>10</v>
      </c>
      <c r="E55" t="s">
        <v>11</v>
      </c>
      <c r="F55" s="3" t="s">
        <v>21</v>
      </c>
      <c r="G55" t="s">
        <v>16</v>
      </c>
      <c r="H55" t="s">
        <v>16</v>
      </c>
      <c r="I55" t="s">
        <v>15</v>
      </c>
      <c r="M55" s="4" t="s">
        <v>18</v>
      </c>
      <c r="Q55" s="5">
        <v>175.2</v>
      </c>
      <c r="R55" s="6">
        <v>1.2742857142857142</v>
      </c>
      <c r="S55" s="8">
        <v>20.8</v>
      </c>
      <c r="T55" s="8">
        <v>0</v>
      </c>
      <c r="U55" s="7">
        <f>S55/VLOOKUP(M55,Constants!$A$2:$B$5,2,FALSE)</f>
        <v>3.3280000000000003</v>
      </c>
      <c r="V55" s="7">
        <f t="shared" si="0"/>
        <v>42.40822857142858</v>
      </c>
      <c r="W55" s="13">
        <f t="shared" si="1"/>
        <v>0.24205609915198964</v>
      </c>
      <c r="X55" t="s">
        <v>37</v>
      </c>
    </row>
    <row r="56" spans="1:24" ht="16" x14ac:dyDescent="0.35">
      <c r="A56" s="11" t="s">
        <v>26</v>
      </c>
      <c r="B56" s="4" t="s">
        <v>30</v>
      </c>
      <c r="C56">
        <v>2023</v>
      </c>
      <c r="D56" t="s">
        <v>10</v>
      </c>
      <c r="E56" t="s">
        <v>11</v>
      </c>
      <c r="F56" s="3" t="s">
        <v>21</v>
      </c>
      <c r="G56" t="s">
        <v>16</v>
      </c>
      <c r="H56" t="s">
        <v>16</v>
      </c>
      <c r="I56" t="s">
        <v>15</v>
      </c>
      <c r="M56" s="4" t="s">
        <v>20</v>
      </c>
      <c r="Q56" s="5">
        <v>10</v>
      </c>
      <c r="R56" s="6">
        <v>2.9428571428571431</v>
      </c>
      <c r="S56" s="8">
        <v>29.4</v>
      </c>
      <c r="T56" s="8">
        <v>0</v>
      </c>
      <c r="U56" s="7">
        <f>S56/VLOOKUP(M56,Constants!$A$2:$B$5,2,FALSE)</f>
        <v>4.7039999999999997</v>
      </c>
      <c r="V56" s="7">
        <f t="shared" si="0"/>
        <v>138.43199999999999</v>
      </c>
      <c r="W56" s="13">
        <f t="shared" si="1"/>
        <v>13.8432</v>
      </c>
      <c r="X56">
        <v>57.89</v>
      </c>
    </row>
    <row r="57" spans="1:24" ht="16" x14ac:dyDescent="0.35">
      <c r="A57" s="11" t="s">
        <v>24</v>
      </c>
      <c r="B57" s="4" t="s">
        <v>30</v>
      </c>
      <c r="C57">
        <v>2023</v>
      </c>
      <c r="D57" t="s">
        <v>10</v>
      </c>
      <c r="E57" t="s">
        <v>11</v>
      </c>
      <c r="F57" s="3" t="s">
        <v>21</v>
      </c>
      <c r="G57" t="s">
        <v>16</v>
      </c>
      <c r="H57" t="s">
        <v>16</v>
      </c>
      <c r="I57" t="s">
        <v>15</v>
      </c>
      <c r="M57" s="4" t="s">
        <v>20</v>
      </c>
      <c r="Q57" s="5">
        <v>10</v>
      </c>
      <c r="R57" s="6">
        <v>3.08</v>
      </c>
      <c r="S57" s="8">
        <v>29.8</v>
      </c>
      <c r="T57" s="8">
        <v>0</v>
      </c>
      <c r="U57" s="7">
        <f>S57/VLOOKUP(M57,Constants!$A$2:$B$5,2,FALSE)</f>
        <v>4.7679999999999998</v>
      </c>
      <c r="V57" s="7">
        <f t="shared" si="0"/>
        <v>146.8544</v>
      </c>
      <c r="W57" s="13">
        <f t="shared" si="1"/>
        <v>14.68544</v>
      </c>
      <c r="X57">
        <v>62.320000000000007</v>
      </c>
    </row>
    <row r="58" spans="1:24" ht="16" x14ac:dyDescent="0.35">
      <c r="A58" s="11" t="s">
        <v>25</v>
      </c>
      <c r="B58" s="4" t="s">
        <v>30</v>
      </c>
      <c r="C58">
        <v>2023</v>
      </c>
      <c r="D58" t="s">
        <v>10</v>
      </c>
      <c r="E58" t="s">
        <v>11</v>
      </c>
      <c r="F58" s="3" t="s">
        <v>21</v>
      </c>
      <c r="G58" t="s">
        <v>16</v>
      </c>
      <c r="H58" t="s">
        <v>16</v>
      </c>
      <c r="I58" t="s">
        <v>15</v>
      </c>
      <c r="M58" s="4" t="s">
        <v>20</v>
      </c>
      <c r="Q58" s="5">
        <v>10</v>
      </c>
      <c r="R58" s="6">
        <v>2.9828571428571427</v>
      </c>
      <c r="S58" s="8">
        <v>30.4</v>
      </c>
      <c r="T58" s="8">
        <v>0</v>
      </c>
      <c r="U58" s="7">
        <f>S58/VLOOKUP(M58,Constants!$A$2:$B$5,2,FALSE)</f>
        <v>4.8639999999999999</v>
      </c>
      <c r="V58" s="7">
        <f t="shared" si="0"/>
        <v>145.08617142857142</v>
      </c>
      <c r="W58" s="13">
        <f t="shared" si="1"/>
        <v>14.508617142857142</v>
      </c>
      <c r="X58">
        <v>55.36</v>
      </c>
    </row>
    <row r="59" spans="1:24" ht="16" x14ac:dyDescent="0.35">
      <c r="A59" s="11" t="s">
        <v>25</v>
      </c>
      <c r="B59" s="4" t="s">
        <v>30</v>
      </c>
      <c r="C59">
        <v>2023</v>
      </c>
      <c r="D59" t="s">
        <v>10</v>
      </c>
      <c r="E59" t="s">
        <v>11</v>
      </c>
      <c r="F59" s="3" t="s">
        <v>21</v>
      </c>
      <c r="G59" t="s">
        <v>16</v>
      </c>
      <c r="H59" t="s">
        <v>16</v>
      </c>
      <c r="I59" t="s">
        <v>15</v>
      </c>
      <c r="M59" s="4" t="s">
        <v>17</v>
      </c>
      <c r="Q59" s="5">
        <v>79.2</v>
      </c>
      <c r="R59" s="6">
        <v>3.1828571428571428</v>
      </c>
      <c r="S59" s="7">
        <v>10.3</v>
      </c>
      <c r="T59" s="7">
        <v>3.3635780405095774</v>
      </c>
      <c r="U59" s="7">
        <f>S59/VLOOKUP(M59,Constants!$A$2:$B$5,2,FALSE)</f>
        <v>1.7758620689655173</v>
      </c>
      <c r="V59" s="7">
        <f t="shared" si="0"/>
        <v>56.523152709359607</v>
      </c>
      <c r="W59" s="13">
        <f t="shared" si="1"/>
        <v>0.71367617057272226</v>
      </c>
      <c r="X59" t="s">
        <v>37</v>
      </c>
    </row>
    <row r="60" spans="1:24" ht="16" x14ac:dyDescent="0.35">
      <c r="A60" s="11" t="s">
        <v>24</v>
      </c>
      <c r="B60" s="4" t="s">
        <v>30</v>
      </c>
      <c r="C60">
        <v>2023</v>
      </c>
      <c r="D60" t="s">
        <v>10</v>
      </c>
      <c r="E60" t="s">
        <v>11</v>
      </c>
      <c r="F60" s="3" t="s">
        <v>21</v>
      </c>
      <c r="G60" t="s">
        <v>16</v>
      </c>
      <c r="H60" t="s">
        <v>16</v>
      </c>
      <c r="I60" t="s">
        <v>15</v>
      </c>
      <c r="M60" s="4" t="s">
        <v>17</v>
      </c>
      <c r="Q60" s="5">
        <v>146.19999999999999</v>
      </c>
      <c r="R60" s="6">
        <v>2.48</v>
      </c>
      <c r="S60" s="7">
        <v>11.3</v>
      </c>
      <c r="T60" s="7">
        <v>3.3803361019895695</v>
      </c>
      <c r="U60" s="7">
        <f>S60/VLOOKUP(M60,Constants!$A$2:$B$5,2,FALSE)</f>
        <v>1.9482758620689657</v>
      </c>
      <c r="V60" s="7">
        <f t="shared" si="0"/>
        <v>48.317241379310353</v>
      </c>
      <c r="W60" s="13">
        <f t="shared" si="1"/>
        <v>0.33048728713618575</v>
      </c>
      <c r="X60" t="s">
        <v>37</v>
      </c>
    </row>
    <row r="61" spans="1:24" ht="16" x14ac:dyDescent="0.35">
      <c r="A61" s="11" t="s">
        <v>26</v>
      </c>
      <c r="B61" s="4" t="s">
        <v>30</v>
      </c>
      <c r="C61">
        <v>2023</v>
      </c>
      <c r="D61" t="s">
        <v>10</v>
      </c>
      <c r="E61" t="s">
        <v>11</v>
      </c>
      <c r="F61" s="3" t="s">
        <v>21</v>
      </c>
      <c r="G61" t="s">
        <v>16</v>
      </c>
      <c r="H61" t="s">
        <v>16</v>
      </c>
      <c r="I61" t="s">
        <v>15</v>
      </c>
      <c r="M61" s="4" t="s">
        <v>17</v>
      </c>
      <c r="Q61" s="5">
        <v>10</v>
      </c>
      <c r="R61" s="6">
        <v>1.3714285714285714</v>
      </c>
      <c r="S61" s="7">
        <v>9.3000000000000007</v>
      </c>
      <c r="T61" s="7">
        <v>2.3972389776755176</v>
      </c>
      <c r="U61" s="7">
        <f>S61/VLOOKUP(M61,Constants!$A$2:$B$5,2,FALSE)</f>
        <v>1.6034482758620692</v>
      </c>
      <c r="V61" s="7">
        <f t="shared" si="0"/>
        <v>21.990147783251235</v>
      </c>
      <c r="W61" s="13">
        <f t="shared" si="1"/>
        <v>2.1990147783251235</v>
      </c>
      <c r="X61" t="s">
        <v>37</v>
      </c>
    </row>
    <row r="62" spans="1:24" ht="16" x14ac:dyDescent="0.35">
      <c r="A62" s="11" t="s">
        <v>26</v>
      </c>
      <c r="B62" s="4" t="s">
        <v>31</v>
      </c>
      <c r="C62">
        <v>2023</v>
      </c>
      <c r="D62" t="s">
        <v>10</v>
      </c>
      <c r="E62" t="s">
        <v>11</v>
      </c>
      <c r="F62" s="3" t="s">
        <v>21</v>
      </c>
      <c r="G62" t="s">
        <v>16</v>
      </c>
      <c r="H62" t="s">
        <v>16</v>
      </c>
      <c r="I62" t="s">
        <v>15</v>
      </c>
      <c r="M62" s="4" t="s">
        <v>19</v>
      </c>
      <c r="Q62" s="5">
        <v>10</v>
      </c>
      <c r="R62" s="6">
        <v>2.805714285714286</v>
      </c>
      <c r="S62" s="9">
        <v>10.4</v>
      </c>
      <c r="T62" s="9">
        <v>3.68706470306768</v>
      </c>
      <c r="U62" s="7">
        <f>S62/VLOOKUP(M62,Constants!$A$2:$B$5,2,FALSE)</f>
        <v>1.8538324420677361</v>
      </c>
      <c r="V62" s="7">
        <f t="shared" si="0"/>
        <v>52.013241660300487</v>
      </c>
      <c r="W62" s="13">
        <f t="shared" si="1"/>
        <v>5.2013241660300489</v>
      </c>
      <c r="X62">
        <v>39.594999999999999</v>
      </c>
    </row>
    <row r="63" spans="1:24" ht="16" x14ac:dyDescent="0.35">
      <c r="A63" s="11" t="s">
        <v>25</v>
      </c>
      <c r="B63" s="4" t="s">
        <v>31</v>
      </c>
      <c r="C63">
        <v>2023</v>
      </c>
      <c r="D63" t="s">
        <v>10</v>
      </c>
      <c r="E63" t="s">
        <v>11</v>
      </c>
      <c r="F63" s="3" t="s">
        <v>21</v>
      </c>
      <c r="G63" t="s">
        <v>16</v>
      </c>
      <c r="H63" t="s">
        <v>16</v>
      </c>
      <c r="I63" t="s">
        <v>15</v>
      </c>
      <c r="M63" s="4" t="s">
        <v>19</v>
      </c>
      <c r="Q63" s="5">
        <v>79.2</v>
      </c>
      <c r="R63" s="6">
        <v>3.0457142857142854</v>
      </c>
      <c r="S63" s="9">
        <v>11.7</v>
      </c>
      <c r="T63" s="9">
        <v>3.0109489051094891</v>
      </c>
      <c r="U63" s="7">
        <f>S63/VLOOKUP(M63,Constants!$A$2:$B$5,2,FALSE)</f>
        <v>2.0855614973262031</v>
      </c>
      <c r="V63" s="7">
        <f t="shared" si="0"/>
        <v>63.520244461420916</v>
      </c>
      <c r="W63" s="13">
        <f t="shared" si="1"/>
        <v>0.8020232886543045</v>
      </c>
      <c r="X63">
        <v>55.660000000000004</v>
      </c>
    </row>
    <row r="64" spans="1:24" ht="16" x14ac:dyDescent="0.35">
      <c r="A64" s="11" t="s">
        <v>24</v>
      </c>
      <c r="B64" s="4" t="s">
        <v>31</v>
      </c>
      <c r="C64">
        <v>2023</v>
      </c>
      <c r="D64" t="s">
        <v>10</v>
      </c>
      <c r="E64" t="s">
        <v>11</v>
      </c>
      <c r="F64" s="3" t="s">
        <v>21</v>
      </c>
      <c r="G64" t="s">
        <v>16</v>
      </c>
      <c r="H64" t="s">
        <v>16</v>
      </c>
      <c r="I64" t="s">
        <v>15</v>
      </c>
      <c r="M64" s="4" t="s">
        <v>19</v>
      </c>
      <c r="Q64" s="5">
        <v>146.19999999999999</v>
      </c>
      <c r="R64" s="6">
        <v>3.4285714285714288</v>
      </c>
      <c r="S64" s="9">
        <v>12.6</v>
      </c>
      <c r="T64" s="9">
        <v>6.5651683583051383</v>
      </c>
      <c r="U64" s="7">
        <f>S64/VLOOKUP(M64,Constants!$A$2:$B$5,2,FALSE)</f>
        <v>2.2459893048128339</v>
      </c>
      <c r="V64" s="7">
        <f t="shared" si="0"/>
        <v>77.005347593582883</v>
      </c>
      <c r="W64" s="13">
        <f t="shared" si="1"/>
        <v>0.52671236384119624</v>
      </c>
      <c r="X64">
        <v>68.160000000000011</v>
      </c>
    </row>
    <row r="65" spans="1:24" ht="16" x14ac:dyDescent="0.35">
      <c r="A65" s="11" t="s">
        <v>25</v>
      </c>
      <c r="B65" s="4" t="s">
        <v>30</v>
      </c>
      <c r="C65">
        <v>2023</v>
      </c>
      <c r="D65" t="s">
        <v>10</v>
      </c>
      <c r="E65" t="s">
        <v>11</v>
      </c>
      <c r="F65" s="3" t="s">
        <v>21</v>
      </c>
      <c r="G65" t="s">
        <v>16</v>
      </c>
      <c r="H65" t="s">
        <v>16</v>
      </c>
      <c r="I65" t="s">
        <v>15</v>
      </c>
      <c r="M65" s="4" t="s">
        <v>17</v>
      </c>
      <c r="Q65" s="5">
        <v>79.2</v>
      </c>
      <c r="R65" s="6">
        <v>2.5771428571428574</v>
      </c>
      <c r="S65" s="7">
        <v>9.5</v>
      </c>
      <c r="T65" s="7">
        <v>3.7380210137397527</v>
      </c>
      <c r="U65" s="7">
        <f>S65/VLOOKUP(M65,Constants!$A$2:$B$5,2,FALSE)</f>
        <v>1.6379310344827587</v>
      </c>
      <c r="V65" s="7">
        <f t="shared" si="0"/>
        <v>42.211822660098527</v>
      </c>
      <c r="W65" s="13">
        <f t="shared" si="1"/>
        <v>0.53297755883962783</v>
      </c>
      <c r="X65">
        <v>73.209999999999994</v>
      </c>
    </row>
    <row r="66" spans="1:24" ht="16" x14ac:dyDescent="0.35">
      <c r="A66" s="11" t="s">
        <v>24</v>
      </c>
      <c r="B66" s="4" t="s">
        <v>30</v>
      </c>
      <c r="C66">
        <v>2023</v>
      </c>
      <c r="D66" t="s">
        <v>10</v>
      </c>
      <c r="E66" t="s">
        <v>11</v>
      </c>
      <c r="F66" s="3" t="s">
        <v>21</v>
      </c>
      <c r="G66" t="s">
        <v>16</v>
      </c>
      <c r="H66" t="s">
        <v>16</v>
      </c>
      <c r="I66" t="s">
        <v>15</v>
      </c>
      <c r="M66" s="4" t="s">
        <v>17</v>
      </c>
      <c r="Q66" s="5">
        <v>146.19999999999999</v>
      </c>
      <c r="R66" s="6">
        <v>3.0057142857142853</v>
      </c>
      <c r="S66" s="7">
        <v>10</v>
      </c>
      <c r="T66" s="7">
        <v>3.5962709614108004</v>
      </c>
      <c r="U66" s="7">
        <f>S66/VLOOKUP(M66,Constants!$A$2:$B$5,2,FALSE)</f>
        <v>1.7241379310344829</v>
      </c>
      <c r="V66" s="7">
        <f t="shared" si="0"/>
        <v>51.822660098522164</v>
      </c>
      <c r="W66" s="13">
        <f t="shared" si="1"/>
        <v>0.35446415936061676</v>
      </c>
      <c r="X66">
        <v>60.019999999999996</v>
      </c>
    </row>
    <row r="67" spans="1:24" ht="16" x14ac:dyDescent="0.35">
      <c r="A67" s="11" t="s">
        <v>26</v>
      </c>
      <c r="B67" s="4" t="s">
        <v>30</v>
      </c>
      <c r="C67">
        <v>2023</v>
      </c>
      <c r="D67" t="s">
        <v>10</v>
      </c>
      <c r="E67" t="s">
        <v>11</v>
      </c>
      <c r="F67" s="3" t="s">
        <v>21</v>
      </c>
      <c r="G67" t="s">
        <v>16</v>
      </c>
      <c r="H67" t="s">
        <v>16</v>
      </c>
      <c r="I67" t="s">
        <v>15</v>
      </c>
      <c r="M67" s="4" t="s">
        <v>17</v>
      </c>
      <c r="Q67" s="5">
        <v>10</v>
      </c>
      <c r="R67" s="6">
        <v>2.6114285714285717</v>
      </c>
      <c r="S67" s="7">
        <v>8.5</v>
      </c>
      <c r="T67" s="7">
        <v>2.3337790202990152</v>
      </c>
      <c r="U67" s="7">
        <f>S67/VLOOKUP(M67,Constants!$A$2:$B$5,2,FALSE)</f>
        <v>1.4655172413793105</v>
      </c>
      <c r="V67" s="7">
        <f t="shared" ref="V67:V130" si="2">U67/100*R67*1000</f>
        <v>38.270935960591139</v>
      </c>
      <c r="W67" s="13">
        <f t="shared" ref="W67:W130" si="3">V67/Q67</f>
        <v>3.8270935960591137</v>
      </c>
      <c r="X67">
        <v>51.97</v>
      </c>
    </row>
    <row r="68" spans="1:24" ht="16" x14ac:dyDescent="0.35">
      <c r="A68" s="11" t="s">
        <v>24</v>
      </c>
      <c r="B68" s="4" t="s">
        <v>29</v>
      </c>
      <c r="C68">
        <v>2023</v>
      </c>
      <c r="D68" t="s">
        <v>10</v>
      </c>
      <c r="E68" t="s">
        <v>11</v>
      </c>
      <c r="F68" s="3" t="s">
        <v>21</v>
      </c>
      <c r="G68" t="s">
        <v>16</v>
      </c>
      <c r="H68" t="s">
        <v>16</v>
      </c>
      <c r="I68" t="s">
        <v>15</v>
      </c>
      <c r="M68" s="4" t="s">
        <v>17</v>
      </c>
      <c r="Q68" s="5">
        <v>146.19999999999999</v>
      </c>
      <c r="R68" s="6">
        <v>4.08</v>
      </c>
      <c r="S68" s="7">
        <v>9.5</v>
      </c>
      <c r="T68" s="7">
        <v>1.8304013875123883</v>
      </c>
      <c r="U68" s="7">
        <f>S68/VLOOKUP(M68,Constants!$A$2:$B$5,2,FALSE)</f>
        <v>1.6379310344827587</v>
      </c>
      <c r="V68" s="7">
        <f t="shared" si="2"/>
        <v>66.827586206896569</v>
      </c>
      <c r="W68" s="13">
        <f t="shared" si="3"/>
        <v>0.45709703287890951</v>
      </c>
      <c r="X68">
        <v>45.96</v>
      </c>
    </row>
    <row r="69" spans="1:24" ht="16" x14ac:dyDescent="0.35">
      <c r="A69" s="11" t="s">
        <v>26</v>
      </c>
      <c r="B69" s="4" t="s">
        <v>29</v>
      </c>
      <c r="C69">
        <v>2023</v>
      </c>
      <c r="D69" t="s">
        <v>10</v>
      </c>
      <c r="E69" t="s">
        <v>11</v>
      </c>
      <c r="F69" s="3" t="s">
        <v>21</v>
      </c>
      <c r="G69" t="s">
        <v>16</v>
      </c>
      <c r="H69" t="s">
        <v>16</v>
      </c>
      <c r="I69" t="s">
        <v>15</v>
      </c>
      <c r="M69" s="4" t="s">
        <v>17</v>
      </c>
      <c r="Q69" s="5">
        <v>10</v>
      </c>
      <c r="R69" s="6">
        <v>2.4857142857142858</v>
      </c>
      <c r="S69" s="7">
        <v>7.9</v>
      </c>
      <c r="T69" s="7">
        <v>1.7220063581773224</v>
      </c>
      <c r="U69" s="7">
        <f>S69/VLOOKUP(M69,Constants!$A$2:$B$5,2,FALSE)</f>
        <v>1.3620689655172415</v>
      </c>
      <c r="V69" s="7">
        <f t="shared" si="2"/>
        <v>33.857142857142854</v>
      </c>
      <c r="W69" s="13">
        <f t="shared" si="3"/>
        <v>3.3857142857142852</v>
      </c>
      <c r="X69">
        <v>40.18</v>
      </c>
    </row>
    <row r="70" spans="1:24" ht="16" x14ac:dyDescent="0.35">
      <c r="A70" s="11" t="s">
        <v>25</v>
      </c>
      <c r="B70" s="4" t="s">
        <v>29</v>
      </c>
      <c r="C70">
        <v>2023</v>
      </c>
      <c r="D70" t="s">
        <v>10</v>
      </c>
      <c r="E70" t="s">
        <v>11</v>
      </c>
      <c r="F70" s="3" t="s">
        <v>21</v>
      </c>
      <c r="G70" t="s">
        <v>16</v>
      </c>
      <c r="H70" t="s">
        <v>16</v>
      </c>
      <c r="I70" t="s">
        <v>15</v>
      </c>
      <c r="M70" s="4" t="s">
        <v>17</v>
      </c>
      <c r="Q70" s="5">
        <v>79.2</v>
      </c>
      <c r="R70" s="6">
        <v>3.9599999999999995</v>
      </c>
      <c r="S70" s="7">
        <v>8.6</v>
      </c>
      <c r="T70" s="7">
        <v>1.3211219963621279</v>
      </c>
      <c r="U70" s="7">
        <f>S70/VLOOKUP(M70,Constants!$A$2:$B$5,2,FALSE)</f>
        <v>1.4827586206896552</v>
      </c>
      <c r="V70" s="7">
        <f t="shared" si="2"/>
        <v>58.717241379310337</v>
      </c>
      <c r="W70" s="13">
        <f t="shared" si="3"/>
        <v>0.74137931034482751</v>
      </c>
      <c r="X70">
        <v>35.770000000000003</v>
      </c>
    </row>
    <row r="71" spans="1:24" ht="16" x14ac:dyDescent="0.35">
      <c r="A71" s="11" t="s">
        <v>26</v>
      </c>
      <c r="B71" s="4" t="s">
        <v>30</v>
      </c>
      <c r="C71">
        <v>2023</v>
      </c>
      <c r="D71" t="s">
        <v>10</v>
      </c>
      <c r="E71" t="s">
        <v>11</v>
      </c>
      <c r="F71" s="3" t="s">
        <v>21</v>
      </c>
      <c r="G71" t="s">
        <v>16</v>
      </c>
      <c r="H71" t="s">
        <v>16</v>
      </c>
      <c r="I71" t="s">
        <v>15</v>
      </c>
      <c r="M71" s="4" t="s">
        <v>20</v>
      </c>
      <c r="Q71" s="5">
        <v>10</v>
      </c>
      <c r="R71" s="6">
        <v>2.9314285714285715</v>
      </c>
      <c r="S71" s="8">
        <v>29.3</v>
      </c>
      <c r="T71" s="8">
        <v>0</v>
      </c>
      <c r="U71" s="7">
        <f>S71/VLOOKUP(M71,Constants!$A$2:$B$5,2,FALSE)</f>
        <v>4.6879999999999997</v>
      </c>
      <c r="V71" s="7">
        <f t="shared" si="2"/>
        <v>137.42537142857142</v>
      </c>
      <c r="W71" s="13">
        <f t="shared" si="3"/>
        <v>13.742537142857142</v>
      </c>
      <c r="X71">
        <v>33.69</v>
      </c>
    </row>
    <row r="72" spans="1:24" ht="16" x14ac:dyDescent="0.35">
      <c r="A72" s="11" t="s">
        <v>24</v>
      </c>
      <c r="B72" s="4" t="s">
        <v>30</v>
      </c>
      <c r="C72">
        <v>2023</v>
      </c>
      <c r="D72" t="s">
        <v>10</v>
      </c>
      <c r="E72" t="s">
        <v>11</v>
      </c>
      <c r="F72" s="3" t="s">
        <v>21</v>
      </c>
      <c r="G72" t="s">
        <v>16</v>
      </c>
      <c r="H72" t="s">
        <v>16</v>
      </c>
      <c r="I72" t="s">
        <v>15</v>
      </c>
      <c r="M72" s="4" t="s">
        <v>20</v>
      </c>
      <c r="Q72" s="5">
        <v>10</v>
      </c>
      <c r="R72" s="6">
        <v>3.2800000000000002</v>
      </c>
      <c r="S72" s="8">
        <v>29.5</v>
      </c>
      <c r="T72" s="8">
        <v>0</v>
      </c>
      <c r="U72" s="7">
        <f>S72/VLOOKUP(M72,Constants!$A$2:$B$5,2,FALSE)</f>
        <v>4.72</v>
      </c>
      <c r="V72" s="7">
        <f t="shared" si="2"/>
        <v>154.816</v>
      </c>
      <c r="W72" s="13">
        <f t="shared" si="3"/>
        <v>15.4816</v>
      </c>
      <c r="X72">
        <v>51.42</v>
      </c>
    </row>
    <row r="73" spans="1:24" ht="16" x14ac:dyDescent="0.35">
      <c r="A73" s="11" t="s">
        <v>25</v>
      </c>
      <c r="B73" s="4" t="s">
        <v>30</v>
      </c>
      <c r="C73">
        <v>2023</v>
      </c>
      <c r="D73" t="s">
        <v>10</v>
      </c>
      <c r="E73" t="s">
        <v>11</v>
      </c>
      <c r="F73" s="3" t="s">
        <v>21</v>
      </c>
      <c r="G73" t="s">
        <v>16</v>
      </c>
      <c r="H73" t="s">
        <v>16</v>
      </c>
      <c r="I73" t="s">
        <v>15</v>
      </c>
      <c r="M73" s="4" t="s">
        <v>20</v>
      </c>
      <c r="Q73" s="5">
        <v>10</v>
      </c>
      <c r="R73" s="6">
        <v>3.16</v>
      </c>
      <c r="S73" s="8">
        <v>29.1</v>
      </c>
      <c r="T73" s="8">
        <v>0</v>
      </c>
      <c r="U73" s="7">
        <f>S73/VLOOKUP(M73,Constants!$A$2:$B$5,2,FALSE)</f>
        <v>4.6560000000000006</v>
      </c>
      <c r="V73" s="7">
        <f t="shared" si="2"/>
        <v>147.12960000000004</v>
      </c>
      <c r="W73" s="13">
        <f t="shared" si="3"/>
        <v>14.712960000000004</v>
      </c>
      <c r="X73">
        <v>80.199999999999989</v>
      </c>
    </row>
    <row r="74" spans="1:24" ht="16" x14ac:dyDescent="0.35">
      <c r="A74" s="11" t="s">
        <v>24</v>
      </c>
      <c r="B74" s="4" t="s">
        <v>30</v>
      </c>
      <c r="C74">
        <v>2023</v>
      </c>
      <c r="D74" t="s">
        <v>10</v>
      </c>
      <c r="E74" t="s">
        <v>11</v>
      </c>
      <c r="F74" s="3" t="s">
        <v>21</v>
      </c>
      <c r="G74" t="s">
        <v>16</v>
      </c>
      <c r="H74" t="s">
        <v>16</v>
      </c>
      <c r="I74" t="s">
        <v>15</v>
      </c>
      <c r="M74" s="4" t="s">
        <v>18</v>
      </c>
      <c r="Q74" s="5">
        <v>175.2</v>
      </c>
      <c r="R74" s="6">
        <v>1.9771428571428571</v>
      </c>
      <c r="S74" s="8">
        <v>20.100000000000001</v>
      </c>
      <c r="T74" s="8">
        <v>0</v>
      </c>
      <c r="U74" s="7">
        <f>S74/VLOOKUP(M74,Constants!$A$2:$B$5,2,FALSE)</f>
        <v>3.2160000000000002</v>
      </c>
      <c r="V74" s="7">
        <f t="shared" si="2"/>
        <v>63.584914285714291</v>
      </c>
      <c r="W74" s="13">
        <f t="shared" si="3"/>
        <v>0.36292759295499027</v>
      </c>
      <c r="X74" t="s">
        <v>37</v>
      </c>
    </row>
    <row r="75" spans="1:24" ht="16" x14ac:dyDescent="0.35">
      <c r="A75" s="11" t="s">
        <v>25</v>
      </c>
      <c r="B75" s="4" t="s">
        <v>30</v>
      </c>
      <c r="C75">
        <v>2023</v>
      </c>
      <c r="D75" t="s">
        <v>10</v>
      </c>
      <c r="E75" t="s">
        <v>11</v>
      </c>
      <c r="F75" s="3" t="s">
        <v>21</v>
      </c>
      <c r="G75" t="s">
        <v>16</v>
      </c>
      <c r="H75" t="s">
        <v>16</v>
      </c>
      <c r="I75" t="s">
        <v>15</v>
      </c>
      <c r="M75" s="4" t="s">
        <v>18</v>
      </c>
      <c r="Q75" s="5">
        <v>75.2</v>
      </c>
      <c r="R75" s="6">
        <v>1.7428571428571427</v>
      </c>
      <c r="S75" s="8">
        <v>19.600000000000001</v>
      </c>
      <c r="T75" s="8">
        <v>0</v>
      </c>
      <c r="U75" s="7">
        <f>S75/VLOOKUP(M75,Constants!$A$2:$B$5,2,FALSE)</f>
        <v>3.1360000000000001</v>
      </c>
      <c r="V75" s="7">
        <f t="shared" si="2"/>
        <v>54.655999999999992</v>
      </c>
      <c r="W75" s="13">
        <f t="shared" si="3"/>
        <v>0.72680851063829777</v>
      </c>
      <c r="X75" t="s">
        <v>37</v>
      </c>
    </row>
    <row r="76" spans="1:24" ht="16" x14ac:dyDescent="0.35">
      <c r="A76" s="11" t="s">
        <v>26</v>
      </c>
      <c r="B76" s="4" t="s">
        <v>30</v>
      </c>
      <c r="C76">
        <v>2023</v>
      </c>
      <c r="D76" t="s">
        <v>10</v>
      </c>
      <c r="E76" t="s">
        <v>11</v>
      </c>
      <c r="F76" s="3" t="s">
        <v>21</v>
      </c>
      <c r="G76" t="s">
        <v>16</v>
      </c>
      <c r="H76" t="s">
        <v>16</v>
      </c>
      <c r="I76" t="s">
        <v>15</v>
      </c>
      <c r="M76" s="4" t="s">
        <v>18</v>
      </c>
      <c r="Q76" s="5">
        <v>10</v>
      </c>
      <c r="R76" s="6">
        <v>1.2914285714285714</v>
      </c>
      <c r="S76" s="8">
        <v>19.899999999999999</v>
      </c>
      <c r="T76" s="8">
        <v>0</v>
      </c>
      <c r="U76" s="7">
        <f>S76/VLOOKUP(M76,Constants!$A$2:$B$5,2,FALSE)</f>
        <v>3.1839999999999997</v>
      </c>
      <c r="V76" s="7">
        <f t="shared" si="2"/>
        <v>41.119085714285717</v>
      </c>
      <c r="W76" s="13">
        <f t="shared" si="3"/>
        <v>4.1119085714285717</v>
      </c>
      <c r="X76" t="s">
        <v>37</v>
      </c>
    </row>
    <row r="77" spans="1:24" ht="16" x14ac:dyDescent="0.35">
      <c r="A77" s="11" t="s">
        <v>24</v>
      </c>
      <c r="B77" s="4" t="s">
        <v>31</v>
      </c>
      <c r="C77">
        <v>2023</v>
      </c>
      <c r="D77" t="s">
        <v>10</v>
      </c>
      <c r="E77" t="s">
        <v>11</v>
      </c>
      <c r="F77" s="3" t="s">
        <v>21</v>
      </c>
      <c r="G77" t="s">
        <v>16</v>
      </c>
      <c r="H77" t="s">
        <v>16</v>
      </c>
      <c r="I77" t="s">
        <v>15</v>
      </c>
      <c r="M77" s="4" t="s">
        <v>18</v>
      </c>
      <c r="Q77" s="5">
        <v>175.2</v>
      </c>
      <c r="R77" s="6">
        <v>1.7371428571428571</v>
      </c>
      <c r="S77" s="8">
        <v>20.5</v>
      </c>
      <c r="T77" s="8">
        <v>0</v>
      </c>
      <c r="U77" s="7">
        <f>S77/VLOOKUP(M77,Constants!$A$2:$B$5,2,FALSE)</f>
        <v>3.28</v>
      </c>
      <c r="V77" s="7">
        <f t="shared" si="2"/>
        <v>56.978285714285704</v>
      </c>
      <c r="W77" s="13">
        <f t="shared" si="3"/>
        <v>0.32521852576647092</v>
      </c>
      <c r="X77">
        <v>104.03</v>
      </c>
    </row>
    <row r="78" spans="1:24" ht="16" x14ac:dyDescent="0.35">
      <c r="A78" s="11" t="s">
        <v>26</v>
      </c>
      <c r="B78" s="4" t="s">
        <v>31</v>
      </c>
      <c r="C78">
        <v>2023</v>
      </c>
      <c r="D78" t="s">
        <v>10</v>
      </c>
      <c r="E78" t="s">
        <v>11</v>
      </c>
      <c r="F78" s="3" t="s">
        <v>21</v>
      </c>
      <c r="G78" t="s">
        <v>16</v>
      </c>
      <c r="H78" t="s">
        <v>16</v>
      </c>
      <c r="I78" t="s">
        <v>15</v>
      </c>
      <c r="M78" s="4" t="s">
        <v>18</v>
      </c>
      <c r="Q78" s="5">
        <v>10</v>
      </c>
      <c r="R78" s="6">
        <v>1.0285714285714285</v>
      </c>
      <c r="S78" s="8">
        <v>20.5</v>
      </c>
      <c r="T78" s="8">
        <v>0</v>
      </c>
      <c r="U78" s="7">
        <f>S78/VLOOKUP(M78,Constants!$A$2:$B$5,2,FALSE)</f>
        <v>3.28</v>
      </c>
      <c r="V78" s="7">
        <f t="shared" si="2"/>
        <v>33.73714285714285</v>
      </c>
      <c r="W78" s="13">
        <f t="shared" si="3"/>
        <v>3.3737142857142848</v>
      </c>
      <c r="X78">
        <v>23.725000000000001</v>
      </c>
    </row>
    <row r="79" spans="1:24" ht="16" x14ac:dyDescent="0.35">
      <c r="A79" s="11" t="s">
        <v>25</v>
      </c>
      <c r="B79" s="4" t="s">
        <v>31</v>
      </c>
      <c r="C79">
        <v>2023</v>
      </c>
      <c r="D79" t="s">
        <v>10</v>
      </c>
      <c r="E79" t="s">
        <v>11</v>
      </c>
      <c r="F79" s="3" t="s">
        <v>21</v>
      </c>
      <c r="G79" t="s">
        <v>16</v>
      </c>
      <c r="H79" t="s">
        <v>16</v>
      </c>
      <c r="I79" t="s">
        <v>15</v>
      </c>
      <c r="M79" s="4" t="s">
        <v>18</v>
      </c>
      <c r="Q79" s="5">
        <v>75.2</v>
      </c>
      <c r="R79" s="6">
        <v>1.2857142857142856</v>
      </c>
      <c r="S79" s="8">
        <v>19.8</v>
      </c>
      <c r="T79" s="8">
        <v>0</v>
      </c>
      <c r="U79" s="7">
        <f>S79/VLOOKUP(M79,Constants!$A$2:$B$5,2,FALSE)</f>
        <v>3.1680000000000001</v>
      </c>
      <c r="V79" s="7">
        <f t="shared" si="2"/>
        <v>40.731428571428566</v>
      </c>
      <c r="W79" s="13">
        <f t="shared" si="3"/>
        <v>0.54164133738601816</v>
      </c>
      <c r="X79">
        <v>117.05</v>
      </c>
    </row>
    <row r="80" spans="1:24" ht="16" x14ac:dyDescent="0.35">
      <c r="A80" s="11" t="s">
        <v>26</v>
      </c>
      <c r="B80" s="4" t="s">
        <v>30</v>
      </c>
      <c r="C80">
        <v>2023</v>
      </c>
      <c r="D80" t="s">
        <v>10</v>
      </c>
      <c r="E80" t="s">
        <v>11</v>
      </c>
      <c r="F80" s="3" t="s">
        <v>21</v>
      </c>
      <c r="G80" t="s">
        <v>16</v>
      </c>
      <c r="H80" t="s">
        <v>16</v>
      </c>
      <c r="I80" t="s">
        <v>15</v>
      </c>
      <c r="M80" s="4" t="s">
        <v>19</v>
      </c>
      <c r="Q80" s="5">
        <v>10</v>
      </c>
      <c r="R80" s="6">
        <v>1.56</v>
      </c>
      <c r="S80" s="9">
        <v>10</v>
      </c>
      <c r="T80" s="9">
        <v>2.1722687804435301</v>
      </c>
      <c r="U80" s="7">
        <f>S80/VLOOKUP(M80,Constants!$A$2:$B$5,2,FALSE)</f>
        <v>1.7825311942959001</v>
      </c>
      <c r="V80" s="7">
        <f t="shared" si="2"/>
        <v>27.807486631016044</v>
      </c>
      <c r="W80" s="13">
        <f t="shared" si="3"/>
        <v>2.7807486631016043</v>
      </c>
      <c r="X80" t="s">
        <v>37</v>
      </c>
    </row>
    <row r="81" spans="1:24" ht="16" x14ac:dyDescent="0.35">
      <c r="A81" s="11" t="s">
        <v>25</v>
      </c>
      <c r="B81" s="4" t="s">
        <v>30</v>
      </c>
      <c r="C81">
        <v>2023</v>
      </c>
      <c r="D81" t="s">
        <v>10</v>
      </c>
      <c r="E81" t="s">
        <v>11</v>
      </c>
      <c r="F81" s="3" t="s">
        <v>21</v>
      </c>
      <c r="G81" t="s">
        <v>16</v>
      </c>
      <c r="H81" t="s">
        <v>16</v>
      </c>
      <c r="I81" t="s">
        <v>15</v>
      </c>
      <c r="M81" s="4" t="s">
        <v>19</v>
      </c>
      <c r="Q81" s="5">
        <v>79.2</v>
      </c>
      <c r="R81" s="6">
        <v>2.6342857142857143</v>
      </c>
      <c r="S81" s="9">
        <v>10.3</v>
      </c>
      <c r="T81" s="9">
        <v>4.0450065092058773</v>
      </c>
      <c r="U81" s="7">
        <f>S81/VLOOKUP(M81,Constants!$A$2:$B$5,2,FALSE)</f>
        <v>1.8360071301247771</v>
      </c>
      <c r="V81" s="7">
        <f t="shared" si="2"/>
        <v>48.36567354214413</v>
      </c>
      <c r="W81" s="13">
        <f t="shared" si="3"/>
        <v>0.61067769623919355</v>
      </c>
      <c r="X81" t="s">
        <v>37</v>
      </c>
    </row>
    <row r="82" spans="1:24" ht="16" x14ac:dyDescent="0.35">
      <c r="A82" s="11" t="s">
        <v>24</v>
      </c>
      <c r="B82" s="4" t="s">
        <v>30</v>
      </c>
      <c r="C82">
        <v>2023</v>
      </c>
      <c r="D82" t="s">
        <v>10</v>
      </c>
      <c r="E82" t="s">
        <v>11</v>
      </c>
      <c r="F82" s="3" t="s">
        <v>21</v>
      </c>
      <c r="G82" t="s">
        <v>16</v>
      </c>
      <c r="H82" t="s">
        <v>16</v>
      </c>
      <c r="I82" t="s">
        <v>15</v>
      </c>
      <c r="M82" s="4" t="s">
        <v>19</v>
      </c>
      <c r="Q82" s="5">
        <v>146.19999999999999</v>
      </c>
      <c r="R82" s="6">
        <v>3.1885714285714286</v>
      </c>
      <c r="S82" s="9">
        <v>11.1</v>
      </c>
      <c r="T82" s="9">
        <v>4.8867699642431468</v>
      </c>
      <c r="U82" s="7">
        <f>S82/VLOOKUP(M82,Constants!$A$2:$B$5,2,FALSE)</f>
        <v>1.9786096256684491</v>
      </c>
      <c r="V82" s="7">
        <f t="shared" si="2"/>
        <v>63.089381207028268</v>
      </c>
      <c r="W82" s="13">
        <f t="shared" si="3"/>
        <v>0.43152791523275152</v>
      </c>
      <c r="X82" t="s">
        <v>37</v>
      </c>
    </row>
    <row r="83" spans="1:24" ht="16" x14ac:dyDescent="0.35">
      <c r="A83" s="11" t="s">
        <v>25</v>
      </c>
      <c r="B83" s="4" t="s">
        <v>29</v>
      </c>
      <c r="C83">
        <v>2023</v>
      </c>
      <c r="D83" t="s">
        <v>10</v>
      </c>
      <c r="E83" t="s">
        <v>11</v>
      </c>
      <c r="F83" s="3" t="s">
        <v>21</v>
      </c>
      <c r="G83" t="s">
        <v>16</v>
      </c>
      <c r="H83" t="s">
        <v>16</v>
      </c>
      <c r="I83" t="s">
        <v>15</v>
      </c>
      <c r="M83" s="4" t="s">
        <v>18</v>
      </c>
      <c r="Q83" s="5">
        <v>75.2</v>
      </c>
      <c r="R83" s="6">
        <v>1.1314285714285715</v>
      </c>
      <c r="S83" s="8">
        <v>21.6</v>
      </c>
      <c r="T83" s="8">
        <v>0</v>
      </c>
      <c r="U83" s="7">
        <f>S83/VLOOKUP(M83,Constants!$A$2:$B$5,2,FALSE)</f>
        <v>3.4560000000000004</v>
      </c>
      <c r="V83" s="7">
        <f t="shared" si="2"/>
        <v>39.102171428571438</v>
      </c>
      <c r="W83" s="13">
        <f t="shared" si="3"/>
        <v>0.51997568389057758</v>
      </c>
      <c r="X83" t="s">
        <v>37</v>
      </c>
    </row>
    <row r="84" spans="1:24" ht="16" x14ac:dyDescent="0.35">
      <c r="A84" s="11" t="s">
        <v>24</v>
      </c>
      <c r="B84" s="4" t="s">
        <v>29</v>
      </c>
      <c r="C84">
        <v>2023</v>
      </c>
      <c r="D84" t="s">
        <v>10</v>
      </c>
      <c r="E84" t="s">
        <v>11</v>
      </c>
      <c r="F84" s="3" t="s">
        <v>21</v>
      </c>
      <c r="G84" t="s">
        <v>16</v>
      </c>
      <c r="H84" t="s">
        <v>16</v>
      </c>
      <c r="I84" t="s">
        <v>15</v>
      </c>
      <c r="M84" s="4" t="s">
        <v>18</v>
      </c>
      <c r="Q84" s="5">
        <v>175.2</v>
      </c>
      <c r="R84" s="6">
        <v>1.2000000000000002</v>
      </c>
      <c r="S84" s="8">
        <v>21.4</v>
      </c>
      <c r="T84" s="8">
        <v>0</v>
      </c>
      <c r="U84" s="7">
        <f>S84/VLOOKUP(M84,Constants!$A$2:$B$5,2,FALSE)</f>
        <v>3.4239999999999999</v>
      </c>
      <c r="V84" s="7">
        <f t="shared" si="2"/>
        <v>41.088000000000008</v>
      </c>
      <c r="W84" s="13">
        <f t="shared" si="3"/>
        <v>0.23452054794520555</v>
      </c>
      <c r="X84" t="s">
        <v>37</v>
      </c>
    </row>
    <row r="85" spans="1:24" ht="16" x14ac:dyDescent="0.35">
      <c r="A85" s="11" t="s">
        <v>26</v>
      </c>
      <c r="B85" s="4" t="s">
        <v>29</v>
      </c>
      <c r="C85">
        <v>2023</v>
      </c>
      <c r="D85" t="s">
        <v>10</v>
      </c>
      <c r="E85" t="s">
        <v>11</v>
      </c>
      <c r="F85" s="3" t="s">
        <v>21</v>
      </c>
      <c r="G85" t="s">
        <v>16</v>
      </c>
      <c r="H85" t="s">
        <v>16</v>
      </c>
      <c r="I85" t="s">
        <v>15</v>
      </c>
      <c r="M85" s="4" t="s">
        <v>18</v>
      </c>
      <c r="Q85" s="5">
        <v>10</v>
      </c>
      <c r="R85" s="6">
        <v>0.78285714285714292</v>
      </c>
      <c r="S85" s="8">
        <v>20.5</v>
      </c>
      <c r="T85" s="8">
        <v>0</v>
      </c>
      <c r="U85" s="7">
        <f>S85/VLOOKUP(M85,Constants!$A$2:$B$5,2,FALSE)</f>
        <v>3.28</v>
      </c>
      <c r="V85" s="7">
        <f t="shared" si="2"/>
        <v>25.677714285714284</v>
      </c>
      <c r="W85" s="13">
        <f t="shared" si="3"/>
        <v>2.5677714285714286</v>
      </c>
      <c r="X85" t="s">
        <v>37</v>
      </c>
    </row>
    <row r="86" spans="1:24" ht="16" x14ac:dyDescent="0.35">
      <c r="A86" s="11" t="s">
        <v>24</v>
      </c>
      <c r="B86" s="4" t="s">
        <v>31</v>
      </c>
      <c r="C86">
        <v>2023</v>
      </c>
      <c r="D86" t="s">
        <v>10</v>
      </c>
      <c r="E86" t="s">
        <v>11</v>
      </c>
      <c r="F86" s="3" t="s">
        <v>21</v>
      </c>
      <c r="G86" t="s">
        <v>16</v>
      </c>
      <c r="H86" t="s">
        <v>16</v>
      </c>
      <c r="I86" t="s">
        <v>15</v>
      </c>
      <c r="M86" s="4" t="s">
        <v>17</v>
      </c>
      <c r="Q86" s="5">
        <v>146.19999999999999</v>
      </c>
      <c r="R86" s="6">
        <v>3.4742857142857142</v>
      </c>
      <c r="S86" s="7">
        <v>10</v>
      </c>
      <c r="T86" s="7">
        <v>1.8867357668619498</v>
      </c>
      <c r="U86" s="7">
        <f>S86/VLOOKUP(M86,Constants!$A$2:$B$5,2,FALSE)</f>
        <v>1.7241379310344829</v>
      </c>
      <c r="V86" s="7">
        <f t="shared" si="2"/>
        <v>59.901477832512313</v>
      </c>
      <c r="W86" s="13">
        <f t="shared" si="3"/>
        <v>0.40972283059173953</v>
      </c>
      <c r="X86">
        <v>42.224999999999994</v>
      </c>
    </row>
    <row r="87" spans="1:24" ht="16" x14ac:dyDescent="0.35">
      <c r="A87" s="11" t="s">
        <v>25</v>
      </c>
      <c r="B87" s="4" t="s">
        <v>31</v>
      </c>
      <c r="C87">
        <v>2023</v>
      </c>
      <c r="D87" t="s">
        <v>10</v>
      </c>
      <c r="E87" t="s">
        <v>11</v>
      </c>
      <c r="F87" s="3" t="s">
        <v>21</v>
      </c>
      <c r="G87" t="s">
        <v>16</v>
      </c>
      <c r="H87" t="s">
        <v>16</v>
      </c>
      <c r="I87" t="s">
        <v>15</v>
      </c>
      <c r="M87" s="4" t="s">
        <v>17</v>
      </c>
      <c r="Q87" s="5">
        <v>79.2</v>
      </c>
      <c r="R87" s="6">
        <v>3.7142857142857144</v>
      </c>
      <c r="S87" s="7">
        <v>9.1999999999999993</v>
      </c>
      <c r="T87" s="7">
        <v>1.549043062200957</v>
      </c>
      <c r="U87" s="7">
        <f>S87/VLOOKUP(M87,Constants!$A$2:$B$5,2,FALSE)</f>
        <v>1.586206896551724</v>
      </c>
      <c r="V87" s="7">
        <f t="shared" si="2"/>
        <v>58.916256157635459</v>
      </c>
      <c r="W87" s="13">
        <f t="shared" si="3"/>
        <v>0.74389212320246789</v>
      </c>
      <c r="X87">
        <v>26.91</v>
      </c>
    </row>
    <row r="88" spans="1:24" ht="16" x14ac:dyDescent="0.35">
      <c r="A88" s="11" t="s">
        <v>26</v>
      </c>
      <c r="B88" s="4" t="s">
        <v>31</v>
      </c>
      <c r="C88">
        <v>2023</v>
      </c>
      <c r="D88" t="s">
        <v>10</v>
      </c>
      <c r="E88" t="s">
        <v>11</v>
      </c>
      <c r="F88" s="3" t="s">
        <v>21</v>
      </c>
      <c r="G88" t="s">
        <v>16</v>
      </c>
      <c r="H88" t="s">
        <v>16</v>
      </c>
      <c r="I88" t="s">
        <v>15</v>
      </c>
      <c r="M88" s="4" t="s">
        <v>17</v>
      </c>
      <c r="Q88" s="5">
        <v>10</v>
      </c>
      <c r="R88" s="6">
        <v>2.4457142857142857</v>
      </c>
      <c r="S88" s="7">
        <v>8.6</v>
      </c>
      <c r="T88" s="7">
        <v>2.3442302319083548</v>
      </c>
      <c r="U88" s="7">
        <f>S88/VLOOKUP(M88,Constants!$A$2:$B$5,2,FALSE)</f>
        <v>1.4827586206896552</v>
      </c>
      <c r="V88" s="7">
        <f t="shared" si="2"/>
        <v>36.264039408866992</v>
      </c>
      <c r="W88" s="13">
        <f t="shared" si="3"/>
        <v>3.626403940886699</v>
      </c>
      <c r="X88">
        <v>24.055</v>
      </c>
    </row>
    <row r="89" spans="1:24" ht="16" x14ac:dyDescent="0.35">
      <c r="A89" s="11" t="s">
        <v>25</v>
      </c>
      <c r="B89" s="4" t="s">
        <v>31</v>
      </c>
      <c r="C89">
        <v>2023</v>
      </c>
      <c r="D89" t="s">
        <v>10</v>
      </c>
      <c r="E89" t="s">
        <v>11</v>
      </c>
      <c r="F89" s="3" t="s">
        <v>21</v>
      </c>
      <c r="G89" t="s">
        <v>16</v>
      </c>
      <c r="H89" t="s">
        <v>16</v>
      </c>
      <c r="I89" t="s">
        <v>15</v>
      </c>
      <c r="M89" s="4" t="s">
        <v>20</v>
      </c>
      <c r="Q89" s="5">
        <v>10</v>
      </c>
      <c r="R89" s="6">
        <v>3.0457142857142854</v>
      </c>
      <c r="S89" s="8">
        <v>29.9</v>
      </c>
      <c r="T89" s="8">
        <v>0</v>
      </c>
      <c r="U89" s="7">
        <f>S89/VLOOKUP(M89,Constants!$A$2:$B$5,2,FALSE)</f>
        <v>4.7839999999999998</v>
      </c>
      <c r="V89" s="7">
        <f t="shared" si="2"/>
        <v>145.70697142857142</v>
      </c>
      <c r="W89" s="13">
        <f t="shared" si="3"/>
        <v>14.570697142857142</v>
      </c>
      <c r="X89" t="s">
        <v>37</v>
      </c>
    </row>
    <row r="90" spans="1:24" ht="16" x14ac:dyDescent="0.35">
      <c r="A90" s="11" t="s">
        <v>24</v>
      </c>
      <c r="B90" s="4" t="s">
        <v>31</v>
      </c>
      <c r="C90">
        <v>2023</v>
      </c>
      <c r="D90" t="s">
        <v>10</v>
      </c>
      <c r="E90" t="s">
        <v>11</v>
      </c>
      <c r="F90" s="3" t="s">
        <v>21</v>
      </c>
      <c r="G90" t="s">
        <v>16</v>
      </c>
      <c r="H90" t="s">
        <v>16</v>
      </c>
      <c r="I90" t="s">
        <v>15</v>
      </c>
      <c r="M90" s="4" t="s">
        <v>20</v>
      </c>
      <c r="Q90" s="5">
        <v>10</v>
      </c>
      <c r="R90" s="6">
        <v>2.714285714285714</v>
      </c>
      <c r="S90" s="8">
        <v>30.1</v>
      </c>
      <c r="T90" s="8">
        <v>0</v>
      </c>
      <c r="U90" s="7">
        <f>S90/VLOOKUP(M90,Constants!$A$2:$B$5,2,FALSE)</f>
        <v>4.8159999999999998</v>
      </c>
      <c r="V90" s="7">
        <f t="shared" si="2"/>
        <v>130.71999999999997</v>
      </c>
      <c r="W90" s="13">
        <f t="shared" si="3"/>
        <v>13.071999999999997</v>
      </c>
      <c r="X90" t="s">
        <v>37</v>
      </c>
    </row>
    <row r="91" spans="1:24" ht="16" x14ac:dyDescent="0.35">
      <c r="A91" s="11" t="s">
        <v>26</v>
      </c>
      <c r="B91" s="4" t="s">
        <v>31</v>
      </c>
      <c r="C91">
        <v>2023</v>
      </c>
      <c r="D91" t="s">
        <v>10</v>
      </c>
      <c r="E91" t="s">
        <v>11</v>
      </c>
      <c r="F91" s="3" t="s">
        <v>21</v>
      </c>
      <c r="G91" t="s">
        <v>16</v>
      </c>
      <c r="H91" t="s">
        <v>16</v>
      </c>
      <c r="I91" t="s">
        <v>15</v>
      </c>
      <c r="M91" s="4" t="s">
        <v>20</v>
      </c>
      <c r="Q91" s="5">
        <v>10</v>
      </c>
      <c r="R91" s="6">
        <v>2.8742857142857141</v>
      </c>
      <c r="S91" s="8">
        <v>32.1</v>
      </c>
      <c r="T91" s="8">
        <v>0</v>
      </c>
      <c r="U91" s="7">
        <f>S91/VLOOKUP(M91,Constants!$A$2:$B$5,2,FALSE)</f>
        <v>5.1360000000000001</v>
      </c>
      <c r="V91" s="7">
        <f t="shared" si="2"/>
        <v>147.62331428571429</v>
      </c>
      <c r="W91" s="13">
        <f t="shared" si="3"/>
        <v>14.762331428571429</v>
      </c>
      <c r="X91" t="s">
        <v>37</v>
      </c>
    </row>
    <row r="92" spans="1:24" ht="16" x14ac:dyDescent="0.35">
      <c r="A92" s="11" t="s">
        <v>24</v>
      </c>
      <c r="B92" s="4" t="s">
        <v>29</v>
      </c>
      <c r="C92">
        <v>2024</v>
      </c>
      <c r="D92" t="s">
        <v>10</v>
      </c>
      <c r="E92" t="s">
        <v>11</v>
      </c>
      <c r="F92" t="s">
        <v>11</v>
      </c>
      <c r="G92" t="s">
        <v>16</v>
      </c>
      <c r="H92" t="s">
        <v>16</v>
      </c>
      <c r="I92" t="s">
        <v>11</v>
      </c>
      <c r="L92" s="4" t="s">
        <v>17</v>
      </c>
      <c r="M92" s="4" t="s">
        <v>18</v>
      </c>
      <c r="P92" s="5">
        <v>146.19999999999999</v>
      </c>
      <c r="Q92">
        <v>175.2</v>
      </c>
      <c r="R92">
        <v>1.3788045471213786</v>
      </c>
      <c r="S92">
        <v>21.2</v>
      </c>
      <c r="T92" s="8">
        <v>0</v>
      </c>
      <c r="U92" s="7">
        <f>S92/VLOOKUP(M92,Constants!$A$2:$B$5,2,FALSE)</f>
        <v>3.3919999999999999</v>
      </c>
      <c r="V92" s="7">
        <f t="shared" si="2"/>
        <v>46.76905023835716</v>
      </c>
      <c r="W92" s="13">
        <f t="shared" si="3"/>
        <v>0.26694663378057742</v>
      </c>
      <c r="X92">
        <v>144.05000000000001</v>
      </c>
    </row>
    <row r="93" spans="1:24" ht="16" x14ac:dyDescent="0.35">
      <c r="A93" s="11" t="s">
        <v>25</v>
      </c>
      <c r="B93" s="4" t="s">
        <v>29</v>
      </c>
      <c r="C93">
        <v>2024</v>
      </c>
      <c r="D93" t="s">
        <v>10</v>
      </c>
      <c r="E93" t="s">
        <v>11</v>
      </c>
      <c r="F93" t="s">
        <v>11</v>
      </c>
      <c r="G93" t="s">
        <v>16</v>
      </c>
      <c r="H93" t="s">
        <v>16</v>
      </c>
      <c r="I93" t="s">
        <v>11</v>
      </c>
      <c r="L93" s="4" t="s">
        <v>17</v>
      </c>
      <c r="M93" s="4" t="s">
        <v>18</v>
      </c>
      <c r="P93" s="5">
        <v>79.2</v>
      </c>
      <c r="Q93">
        <v>75.2</v>
      </c>
      <c r="R93">
        <v>1.7381738173817383</v>
      </c>
      <c r="S93">
        <v>20.5</v>
      </c>
      <c r="T93" s="8">
        <v>0</v>
      </c>
      <c r="U93" s="7">
        <f>S93/VLOOKUP(M93,Constants!$A$2:$B$5,2,FALSE)</f>
        <v>3.28</v>
      </c>
      <c r="V93" s="7">
        <f t="shared" si="2"/>
        <v>57.01210121012101</v>
      </c>
      <c r="W93" s="13">
        <f t="shared" si="3"/>
        <v>0.75813964375160914</v>
      </c>
      <c r="X93">
        <v>61.45</v>
      </c>
    </row>
    <row r="94" spans="1:24" ht="16" x14ac:dyDescent="0.35">
      <c r="A94" s="11" t="s">
        <v>26</v>
      </c>
      <c r="B94" s="4" t="s">
        <v>29</v>
      </c>
      <c r="C94">
        <v>2024</v>
      </c>
      <c r="D94" t="s">
        <v>10</v>
      </c>
      <c r="E94" t="s">
        <v>11</v>
      </c>
      <c r="F94" t="s">
        <v>11</v>
      </c>
      <c r="G94" t="s">
        <v>16</v>
      </c>
      <c r="H94" t="s">
        <v>16</v>
      </c>
      <c r="I94" t="s">
        <v>11</v>
      </c>
      <c r="L94" s="4" t="s">
        <v>17</v>
      </c>
      <c r="M94" s="4" t="s">
        <v>18</v>
      </c>
      <c r="P94" s="5">
        <v>10</v>
      </c>
      <c r="Q94">
        <v>10</v>
      </c>
      <c r="R94">
        <v>1.6501650165016502</v>
      </c>
      <c r="S94">
        <v>20.2</v>
      </c>
      <c r="T94" s="8">
        <v>0</v>
      </c>
      <c r="U94" s="7">
        <f>S94/VLOOKUP(M94,Constants!$A$2:$B$5,2,FALSE)</f>
        <v>3.2319999999999998</v>
      </c>
      <c r="V94" s="7">
        <f t="shared" si="2"/>
        <v>53.333333333333321</v>
      </c>
      <c r="W94" s="13">
        <f t="shared" si="3"/>
        <v>5.3333333333333321</v>
      </c>
      <c r="X94">
        <v>97.5</v>
      </c>
    </row>
    <row r="95" spans="1:24" ht="16" x14ac:dyDescent="0.35">
      <c r="A95" s="11" t="s">
        <v>26</v>
      </c>
      <c r="B95" s="4" t="s">
        <v>29</v>
      </c>
      <c r="C95">
        <v>2024</v>
      </c>
      <c r="D95" t="s">
        <v>10</v>
      </c>
      <c r="E95" t="s">
        <v>11</v>
      </c>
      <c r="F95" t="s">
        <v>11</v>
      </c>
      <c r="G95" t="s">
        <v>16</v>
      </c>
      <c r="H95" t="s">
        <v>16</v>
      </c>
      <c r="I95" t="s">
        <v>11</v>
      </c>
      <c r="L95" s="4" t="s">
        <v>18</v>
      </c>
      <c r="M95" s="4" t="s">
        <v>17</v>
      </c>
      <c r="P95" s="5">
        <v>10</v>
      </c>
      <c r="Q95">
        <v>10</v>
      </c>
      <c r="R95">
        <v>3.2666666666666666</v>
      </c>
      <c r="S95">
        <v>9.1</v>
      </c>
      <c r="T95" s="8">
        <v>0</v>
      </c>
      <c r="U95" s="7">
        <f>S95/VLOOKUP(M95,Constants!$A$2:$B$5,2,FALSE)</f>
        <v>1.5689655172413792</v>
      </c>
      <c r="V95" s="7">
        <f t="shared" si="2"/>
        <v>51.252873563218387</v>
      </c>
      <c r="W95" s="13">
        <f t="shared" si="3"/>
        <v>5.1252873563218388</v>
      </c>
      <c r="X95">
        <v>83.2</v>
      </c>
    </row>
    <row r="96" spans="1:24" ht="16" x14ac:dyDescent="0.35">
      <c r="A96" s="11" t="s">
        <v>25</v>
      </c>
      <c r="B96" s="4" t="s">
        <v>29</v>
      </c>
      <c r="C96">
        <v>2024</v>
      </c>
      <c r="D96" t="s">
        <v>10</v>
      </c>
      <c r="E96" t="s">
        <v>11</v>
      </c>
      <c r="F96" t="s">
        <v>11</v>
      </c>
      <c r="G96" t="s">
        <v>16</v>
      </c>
      <c r="H96" t="s">
        <v>16</v>
      </c>
      <c r="I96" t="s">
        <v>11</v>
      </c>
      <c r="L96" s="4" t="s">
        <v>18</v>
      </c>
      <c r="M96" s="4" t="s">
        <v>17</v>
      </c>
      <c r="P96" s="5">
        <v>75.2</v>
      </c>
      <c r="Q96">
        <v>79.2</v>
      </c>
      <c r="R96">
        <v>3.3111111111111109</v>
      </c>
      <c r="S96">
        <v>10.1</v>
      </c>
      <c r="T96" s="8">
        <v>0</v>
      </c>
      <c r="U96" s="7">
        <f>S96/VLOOKUP(M96,Constants!$A$2:$B$5,2,FALSE)</f>
        <v>1.7413793103448276</v>
      </c>
      <c r="V96" s="7">
        <f t="shared" si="2"/>
        <v>57.659003831417614</v>
      </c>
      <c r="W96" s="13">
        <f t="shared" si="3"/>
        <v>0.72801772514416174</v>
      </c>
      <c r="X96">
        <v>115.65</v>
      </c>
    </row>
    <row r="97" spans="1:24" ht="16" x14ac:dyDescent="0.35">
      <c r="A97" s="11" t="s">
        <v>24</v>
      </c>
      <c r="B97" s="4" t="s">
        <v>29</v>
      </c>
      <c r="C97">
        <v>2024</v>
      </c>
      <c r="D97" t="s">
        <v>10</v>
      </c>
      <c r="E97" t="s">
        <v>11</v>
      </c>
      <c r="F97" t="s">
        <v>11</v>
      </c>
      <c r="G97" t="s">
        <v>16</v>
      </c>
      <c r="H97" t="s">
        <v>16</v>
      </c>
      <c r="I97" t="s">
        <v>11</v>
      </c>
      <c r="L97" s="4" t="s">
        <v>18</v>
      </c>
      <c r="M97" s="4" t="s">
        <v>17</v>
      </c>
      <c r="P97" s="5">
        <v>175.2</v>
      </c>
      <c r="Q97">
        <v>146.19999999999999</v>
      </c>
      <c r="R97">
        <v>2.5925925925925926</v>
      </c>
      <c r="S97">
        <v>9.9</v>
      </c>
      <c r="T97" s="8">
        <v>0</v>
      </c>
      <c r="U97" s="7">
        <f>S97/VLOOKUP(M97,Constants!$A$2:$B$5,2,FALSE)</f>
        <v>1.7068965517241381</v>
      </c>
      <c r="V97" s="7">
        <f t="shared" si="2"/>
        <v>44.252873563218394</v>
      </c>
      <c r="W97" s="13">
        <f t="shared" si="3"/>
        <v>0.30268723367454442</v>
      </c>
      <c r="X97">
        <v>130.19999999999999</v>
      </c>
    </row>
    <row r="98" spans="1:24" ht="16" x14ac:dyDescent="0.35">
      <c r="A98" s="11" t="s">
        <v>26</v>
      </c>
      <c r="B98" s="4" t="s">
        <v>30</v>
      </c>
      <c r="C98">
        <v>2024</v>
      </c>
      <c r="D98" t="s">
        <v>10</v>
      </c>
      <c r="E98" t="s">
        <v>11</v>
      </c>
      <c r="F98" t="s">
        <v>11</v>
      </c>
      <c r="G98" t="s">
        <v>16</v>
      </c>
      <c r="H98" t="s">
        <v>16</v>
      </c>
      <c r="I98" t="s">
        <v>11</v>
      </c>
      <c r="L98" s="4" t="s">
        <v>17</v>
      </c>
      <c r="M98" s="4" t="s">
        <v>18</v>
      </c>
      <c r="P98" s="5">
        <v>10</v>
      </c>
      <c r="Q98">
        <v>10</v>
      </c>
      <c r="R98">
        <v>1.4814814814814814E-2</v>
      </c>
      <c r="S98">
        <v>0</v>
      </c>
      <c r="T98" s="8">
        <v>0</v>
      </c>
      <c r="U98" s="7">
        <f>S98/VLOOKUP(M98,Constants!$A$2:$B$5,2,FALSE)</f>
        <v>0</v>
      </c>
      <c r="V98" s="7">
        <f t="shared" si="2"/>
        <v>0</v>
      </c>
      <c r="W98" s="13">
        <f t="shared" si="3"/>
        <v>0</v>
      </c>
      <c r="X98">
        <v>98.5</v>
      </c>
    </row>
    <row r="99" spans="1:24" ht="16" x14ac:dyDescent="0.35">
      <c r="A99" s="11" t="s">
        <v>24</v>
      </c>
      <c r="B99" s="4" t="s">
        <v>30</v>
      </c>
      <c r="C99">
        <v>2024</v>
      </c>
      <c r="D99" t="s">
        <v>10</v>
      </c>
      <c r="E99" t="s">
        <v>11</v>
      </c>
      <c r="F99" t="s">
        <v>11</v>
      </c>
      <c r="G99" t="s">
        <v>16</v>
      </c>
      <c r="H99" t="s">
        <v>16</v>
      </c>
      <c r="I99" t="s">
        <v>11</v>
      </c>
      <c r="L99" s="4" t="s">
        <v>17</v>
      </c>
      <c r="M99" s="4" t="s">
        <v>18</v>
      </c>
      <c r="P99" s="5">
        <v>146.19999999999999</v>
      </c>
      <c r="Q99">
        <v>175.2</v>
      </c>
      <c r="R99">
        <v>1.1555555555555557</v>
      </c>
      <c r="S99">
        <v>21</v>
      </c>
      <c r="T99" s="8">
        <v>0</v>
      </c>
      <c r="U99" s="7">
        <f>S99/VLOOKUP(M99,Constants!$A$2:$B$5,2,FALSE)</f>
        <v>3.36</v>
      </c>
      <c r="V99" s="7">
        <f t="shared" si="2"/>
        <v>38.826666666666668</v>
      </c>
      <c r="W99" s="13">
        <f t="shared" si="3"/>
        <v>0.22161339421613396</v>
      </c>
      <c r="X99">
        <v>107.4</v>
      </c>
    </row>
    <row r="100" spans="1:24" ht="16" x14ac:dyDescent="0.35">
      <c r="A100" s="11" t="s">
        <v>25</v>
      </c>
      <c r="B100" s="4" t="s">
        <v>30</v>
      </c>
      <c r="C100">
        <v>2024</v>
      </c>
      <c r="D100" t="s">
        <v>10</v>
      </c>
      <c r="E100" t="s">
        <v>11</v>
      </c>
      <c r="F100" t="s">
        <v>11</v>
      </c>
      <c r="G100" t="s">
        <v>16</v>
      </c>
      <c r="H100" t="s">
        <v>16</v>
      </c>
      <c r="I100" t="s">
        <v>11</v>
      </c>
      <c r="L100" s="4" t="s">
        <v>17</v>
      </c>
      <c r="M100" s="4" t="s">
        <v>18</v>
      </c>
      <c r="P100" s="5">
        <v>79.2</v>
      </c>
      <c r="Q100">
        <v>75.2</v>
      </c>
      <c r="R100">
        <v>0.17777777777777778</v>
      </c>
      <c r="S100">
        <v>0</v>
      </c>
      <c r="T100" s="8">
        <v>0</v>
      </c>
      <c r="U100" s="7">
        <f>S100/VLOOKUP(M100,Constants!$A$2:$B$5,2,FALSE)</f>
        <v>0</v>
      </c>
      <c r="V100" s="7">
        <f t="shared" si="2"/>
        <v>0</v>
      </c>
      <c r="W100" s="13">
        <f t="shared" si="3"/>
        <v>0</v>
      </c>
      <c r="X100">
        <v>155.5</v>
      </c>
    </row>
    <row r="101" spans="1:24" ht="16" x14ac:dyDescent="0.35">
      <c r="A101" s="11" t="s">
        <v>25</v>
      </c>
      <c r="B101" s="4" t="s">
        <v>30</v>
      </c>
      <c r="C101">
        <v>2024</v>
      </c>
      <c r="D101" t="s">
        <v>10</v>
      </c>
      <c r="E101" t="s">
        <v>11</v>
      </c>
      <c r="F101" t="s">
        <v>11</v>
      </c>
      <c r="G101" t="s">
        <v>16</v>
      </c>
      <c r="H101" t="s">
        <v>16</v>
      </c>
      <c r="I101" t="s">
        <v>11</v>
      </c>
      <c r="L101" s="4" t="s">
        <v>18</v>
      </c>
      <c r="M101" s="4" t="s">
        <v>19</v>
      </c>
      <c r="P101" s="5">
        <v>75.2</v>
      </c>
      <c r="Q101">
        <v>79.2</v>
      </c>
      <c r="R101">
        <v>4.7333333333333334</v>
      </c>
      <c r="S101">
        <v>9.8000000000000007</v>
      </c>
      <c r="T101" s="8">
        <v>0</v>
      </c>
      <c r="U101" s="7">
        <f>S101/VLOOKUP(M101,Constants!$A$2:$B$5,2,FALSE)</f>
        <v>1.7468805704099821</v>
      </c>
      <c r="V101" s="7">
        <f t="shared" si="2"/>
        <v>82.685680332739153</v>
      </c>
      <c r="W101" s="13">
        <f t="shared" si="3"/>
        <v>1.044011115312363</v>
      </c>
      <c r="X101">
        <v>89.15</v>
      </c>
    </row>
    <row r="102" spans="1:24" ht="16" x14ac:dyDescent="0.35">
      <c r="A102" s="11" t="s">
        <v>26</v>
      </c>
      <c r="B102" s="4" t="s">
        <v>30</v>
      </c>
      <c r="C102">
        <v>2024</v>
      </c>
      <c r="D102" t="s">
        <v>10</v>
      </c>
      <c r="E102" t="s">
        <v>11</v>
      </c>
      <c r="F102" t="s">
        <v>11</v>
      </c>
      <c r="G102" t="s">
        <v>16</v>
      </c>
      <c r="H102" t="s">
        <v>16</v>
      </c>
      <c r="I102" t="s">
        <v>11</v>
      </c>
      <c r="L102" s="4" t="s">
        <v>18</v>
      </c>
      <c r="M102" s="4" t="s">
        <v>19</v>
      </c>
      <c r="P102" s="5">
        <v>10</v>
      </c>
      <c r="Q102">
        <v>10</v>
      </c>
      <c r="R102">
        <v>4.5111111111111111</v>
      </c>
      <c r="S102">
        <v>8.1</v>
      </c>
      <c r="T102" s="8">
        <v>0</v>
      </c>
      <c r="U102" s="7">
        <f>S102/VLOOKUP(M102,Constants!$A$2:$B$5,2,FALSE)</f>
        <v>1.4438502673796789</v>
      </c>
      <c r="V102" s="7">
        <f t="shared" si="2"/>
        <v>65.133689839572185</v>
      </c>
      <c r="W102" s="13">
        <f t="shared" si="3"/>
        <v>6.5133689839572186</v>
      </c>
      <c r="X102">
        <v>34.549999999999997</v>
      </c>
    </row>
    <row r="103" spans="1:24" ht="16" x14ac:dyDescent="0.35">
      <c r="A103" s="11" t="s">
        <v>24</v>
      </c>
      <c r="B103" s="4" t="s">
        <v>30</v>
      </c>
      <c r="C103">
        <v>2024</v>
      </c>
      <c r="D103" t="s">
        <v>10</v>
      </c>
      <c r="E103" t="s">
        <v>11</v>
      </c>
      <c r="F103" t="s">
        <v>11</v>
      </c>
      <c r="G103" t="s">
        <v>16</v>
      </c>
      <c r="H103" t="s">
        <v>16</v>
      </c>
      <c r="I103" t="s">
        <v>11</v>
      </c>
      <c r="L103" s="4" t="s">
        <v>18</v>
      </c>
      <c r="M103" s="4" t="s">
        <v>19</v>
      </c>
      <c r="P103" s="5">
        <v>175.2</v>
      </c>
      <c r="Q103">
        <v>146.19999999999999</v>
      </c>
      <c r="R103">
        <v>4.6814814814814811</v>
      </c>
      <c r="S103">
        <v>11.7</v>
      </c>
      <c r="T103" s="8">
        <v>0</v>
      </c>
      <c r="U103" s="7">
        <f>S103/VLOOKUP(M103,Constants!$A$2:$B$5,2,FALSE)</f>
        <v>2.0855614973262031</v>
      </c>
      <c r="V103" s="7">
        <f t="shared" si="2"/>
        <v>97.635175282234101</v>
      </c>
      <c r="W103" s="13">
        <f t="shared" si="3"/>
        <v>0.66781925637643025</v>
      </c>
      <c r="X103">
        <v>156.25</v>
      </c>
    </row>
    <row r="104" spans="1:24" ht="16" x14ac:dyDescent="0.35">
      <c r="A104" s="11" t="s">
        <v>24</v>
      </c>
      <c r="B104" s="4" t="s">
        <v>30</v>
      </c>
      <c r="C104">
        <v>2024</v>
      </c>
      <c r="D104" t="s">
        <v>10</v>
      </c>
      <c r="E104" t="s">
        <v>11</v>
      </c>
      <c r="F104" t="s">
        <v>11</v>
      </c>
      <c r="G104" t="s">
        <v>16</v>
      </c>
      <c r="H104" t="s">
        <v>16</v>
      </c>
      <c r="I104" t="s">
        <v>11</v>
      </c>
      <c r="L104" s="4" t="s">
        <v>19</v>
      </c>
      <c r="M104" s="4" t="s">
        <v>20</v>
      </c>
      <c r="P104" s="5">
        <v>146.19999999999999</v>
      </c>
      <c r="Q104">
        <v>10</v>
      </c>
      <c r="R104">
        <v>0.19259259259259259</v>
      </c>
      <c r="S104">
        <v>0</v>
      </c>
      <c r="T104" s="8">
        <v>0</v>
      </c>
      <c r="U104" s="7">
        <f>S104/VLOOKUP(M104,Constants!$A$2:$B$5,2,FALSE)</f>
        <v>0</v>
      </c>
      <c r="V104" s="7">
        <f t="shared" si="2"/>
        <v>0</v>
      </c>
      <c r="W104" s="13">
        <f t="shared" si="3"/>
        <v>0</v>
      </c>
      <c r="X104">
        <v>97.1</v>
      </c>
    </row>
    <row r="105" spans="1:24" ht="16" x14ac:dyDescent="0.35">
      <c r="A105" s="11" t="s">
        <v>26</v>
      </c>
      <c r="B105" s="4" t="s">
        <v>30</v>
      </c>
      <c r="C105">
        <v>2024</v>
      </c>
      <c r="D105" t="s">
        <v>10</v>
      </c>
      <c r="E105" t="s">
        <v>11</v>
      </c>
      <c r="F105" t="s">
        <v>11</v>
      </c>
      <c r="G105" t="s">
        <v>16</v>
      </c>
      <c r="H105" t="s">
        <v>16</v>
      </c>
      <c r="I105" t="s">
        <v>11</v>
      </c>
      <c r="L105" s="4" t="s">
        <v>19</v>
      </c>
      <c r="M105" s="4" t="s">
        <v>20</v>
      </c>
      <c r="P105" s="5">
        <v>10</v>
      </c>
      <c r="Q105">
        <v>10</v>
      </c>
      <c r="R105">
        <v>0.36296296296296299</v>
      </c>
      <c r="S105">
        <v>0</v>
      </c>
      <c r="T105" s="8">
        <v>0</v>
      </c>
      <c r="U105" s="7">
        <f>S105/VLOOKUP(M105,Constants!$A$2:$B$5,2,FALSE)</f>
        <v>0</v>
      </c>
      <c r="V105" s="7">
        <f t="shared" si="2"/>
        <v>0</v>
      </c>
      <c r="W105" s="13">
        <f t="shared" si="3"/>
        <v>0</v>
      </c>
      <c r="X105">
        <v>81.400000000000006</v>
      </c>
    </row>
    <row r="106" spans="1:24" ht="16" x14ac:dyDescent="0.35">
      <c r="A106" s="11" t="s">
        <v>25</v>
      </c>
      <c r="B106" s="4" t="s">
        <v>30</v>
      </c>
      <c r="C106">
        <v>2024</v>
      </c>
      <c r="D106" t="s">
        <v>10</v>
      </c>
      <c r="E106" t="s">
        <v>11</v>
      </c>
      <c r="F106" t="s">
        <v>11</v>
      </c>
      <c r="G106" t="s">
        <v>16</v>
      </c>
      <c r="H106" t="s">
        <v>16</v>
      </c>
      <c r="I106" t="s">
        <v>11</v>
      </c>
      <c r="L106" s="4" t="s">
        <v>19</v>
      </c>
      <c r="M106" s="4" t="s">
        <v>20</v>
      </c>
      <c r="P106" s="5">
        <v>79.2</v>
      </c>
      <c r="Q106">
        <v>10</v>
      </c>
      <c r="R106">
        <v>0.22222222222222224</v>
      </c>
      <c r="S106">
        <v>0</v>
      </c>
      <c r="T106" s="8">
        <v>0</v>
      </c>
      <c r="U106" s="7">
        <f>S106/VLOOKUP(M106,Constants!$A$2:$B$5,2,FALSE)</f>
        <v>0</v>
      </c>
      <c r="V106" s="7">
        <f t="shared" si="2"/>
        <v>0</v>
      </c>
      <c r="W106" s="13">
        <f t="shared" si="3"/>
        <v>0</v>
      </c>
      <c r="X106">
        <v>115.25</v>
      </c>
    </row>
    <row r="107" spans="1:24" ht="16" x14ac:dyDescent="0.35">
      <c r="A107" s="11" t="s">
        <v>26</v>
      </c>
      <c r="B107" s="4" t="s">
        <v>30</v>
      </c>
      <c r="C107">
        <v>2024</v>
      </c>
      <c r="D107" t="s">
        <v>10</v>
      </c>
      <c r="E107" t="s">
        <v>11</v>
      </c>
      <c r="F107" t="s">
        <v>11</v>
      </c>
      <c r="G107" t="s">
        <v>16</v>
      </c>
      <c r="H107" t="s">
        <v>16</v>
      </c>
      <c r="I107" t="s">
        <v>11</v>
      </c>
      <c r="L107" s="4" t="s">
        <v>20</v>
      </c>
      <c r="M107" s="4" t="s">
        <v>17</v>
      </c>
      <c r="P107" s="5">
        <v>10</v>
      </c>
      <c r="Q107">
        <v>10</v>
      </c>
      <c r="R107">
        <v>4.3703703703703702</v>
      </c>
      <c r="S107">
        <v>8.6999999999999993</v>
      </c>
      <c r="T107" s="8">
        <v>0</v>
      </c>
      <c r="U107" s="7">
        <f>S107/VLOOKUP(M107,Constants!$A$2:$B$5,2,FALSE)</f>
        <v>1.5</v>
      </c>
      <c r="V107" s="7">
        <f t="shared" si="2"/>
        <v>65.555555555555543</v>
      </c>
      <c r="W107" s="13">
        <f t="shared" si="3"/>
        <v>6.5555555555555545</v>
      </c>
      <c r="X107">
        <v>51.65</v>
      </c>
    </row>
    <row r="108" spans="1:24" ht="16" x14ac:dyDescent="0.35">
      <c r="A108" s="11" t="s">
        <v>24</v>
      </c>
      <c r="B108" s="4" t="s">
        <v>30</v>
      </c>
      <c r="C108">
        <v>2024</v>
      </c>
      <c r="D108" t="s">
        <v>10</v>
      </c>
      <c r="E108" t="s">
        <v>11</v>
      </c>
      <c r="F108" t="s">
        <v>11</v>
      </c>
      <c r="G108" t="s">
        <v>16</v>
      </c>
      <c r="H108" t="s">
        <v>16</v>
      </c>
      <c r="I108" t="s">
        <v>11</v>
      </c>
      <c r="L108" s="4" t="s">
        <v>20</v>
      </c>
      <c r="M108" s="4" t="s">
        <v>17</v>
      </c>
      <c r="P108" s="5">
        <v>10</v>
      </c>
      <c r="Q108">
        <v>146.19999999999999</v>
      </c>
      <c r="R108">
        <v>3.6814814814814811</v>
      </c>
      <c r="S108">
        <v>9.5</v>
      </c>
      <c r="T108" s="8">
        <v>0</v>
      </c>
      <c r="U108" s="7">
        <f>S108/VLOOKUP(M108,Constants!$A$2:$B$5,2,FALSE)</f>
        <v>1.6379310344827587</v>
      </c>
      <c r="V108" s="7">
        <f t="shared" si="2"/>
        <v>60.300127713920823</v>
      </c>
      <c r="W108" s="13">
        <f t="shared" si="3"/>
        <v>0.41244957396662674</v>
      </c>
      <c r="X108">
        <v>72.599999999999994</v>
      </c>
    </row>
    <row r="109" spans="1:24" ht="16" x14ac:dyDescent="0.35">
      <c r="A109" s="11" t="s">
        <v>25</v>
      </c>
      <c r="B109" s="4" t="s">
        <v>30</v>
      </c>
      <c r="C109">
        <v>2024</v>
      </c>
      <c r="D109" t="s">
        <v>10</v>
      </c>
      <c r="E109" t="s">
        <v>11</v>
      </c>
      <c r="F109" t="s">
        <v>11</v>
      </c>
      <c r="G109" t="s">
        <v>16</v>
      </c>
      <c r="H109" t="s">
        <v>16</v>
      </c>
      <c r="I109" t="s">
        <v>11</v>
      </c>
      <c r="L109" s="4" t="s">
        <v>20</v>
      </c>
      <c r="M109" s="4" t="s">
        <v>17</v>
      </c>
      <c r="P109" s="5">
        <v>10</v>
      </c>
      <c r="Q109">
        <v>79.2</v>
      </c>
      <c r="R109">
        <v>3.844444444444445</v>
      </c>
      <c r="S109">
        <v>9</v>
      </c>
      <c r="T109" s="8">
        <v>0</v>
      </c>
      <c r="U109" s="7">
        <f>S109/VLOOKUP(M109,Constants!$A$2:$B$5,2,FALSE)</f>
        <v>1.5517241379310345</v>
      </c>
      <c r="V109" s="7">
        <f t="shared" si="2"/>
        <v>59.65517241379311</v>
      </c>
      <c r="W109" s="13">
        <f t="shared" si="3"/>
        <v>0.75322187391152917</v>
      </c>
      <c r="X109">
        <v>63</v>
      </c>
    </row>
    <row r="110" spans="1:24" ht="16" x14ac:dyDescent="0.35">
      <c r="A110" s="11" t="s">
        <v>25</v>
      </c>
      <c r="B110" s="4" t="s">
        <v>31</v>
      </c>
      <c r="C110">
        <v>2024</v>
      </c>
      <c r="D110" t="s">
        <v>10</v>
      </c>
      <c r="E110" t="s">
        <v>11</v>
      </c>
      <c r="F110" t="s">
        <v>11</v>
      </c>
      <c r="G110" t="s">
        <v>16</v>
      </c>
      <c r="H110" t="s">
        <v>16</v>
      </c>
      <c r="I110" t="s">
        <v>11</v>
      </c>
      <c r="L110" s="4" t="s">
        <v>20</v>
      </c>
      <c r="M110" s="4" t="s">
        <v>18</v>
      </c>
      <c r="P110" s="5">
        <v>10</v>
      </c>
      <c r="Q110">
        <v>75.2</v>
      </c>
      <c r="R110">
        <v>1.2518518518518518</v>
      </c>
      <c r="S110">
        <v>20.7</v>
      </c>
      <c r="T110" s="8">
        <v>0</v>
      </c>
      <c r="U110" s="7">
        <f>S110/VLOOKUP(M110,Constants!$A$2:$B$5,2,FALSE)</f>
        <v>3.3119999999999998</v>
      </c>
      <c r="V110" s="7">
        <f t="shared" si="2"/>
        <v>41.461333333333329</v>
      </c>
      <c r="W110" s="13">
        <f t="shared" si="3"/>
        <v>0.55134751773049639</v>
      </c>
      <c r="X110">
        <v>142.1</v>
      </c>
    </row>
    <row r="111" spans="1:24" ht="16" x14ac:dyDescent="0.35">
      <c r="A111" s="11" t="s">
        <v>24</v>
      </c>
      <c r="B111" s="4" t="s">
        <v>31</v>
      </c>
      <c r="C111">
        <v>2024</v>
      </c>
      <c r="D111" t="s">
        <v>10</v>
      </c>
      <c r="E111" t="s">
        <v>11</v>
      </c>
      <c r="F111" t="s">
        <v>11</v>
      </c>
      <c r="G111" t="s">
        <v>16</v>
      </c>
      <c r="H111" t="s">
        <v>16</v>
      </c>
      <c r="I111" t="s">
        <v>11</v>
      </c>
      <c r="L111" s="4" t="s">
        <v>20</v>
      </c>
      <c r="M111" s="4" t="s">
        <v>18</v>
      </c>
      <c r="P111" s="5">
        <v>10</v>
      </c>
      <c r="Q111">
        <v>175.2</v>
      </c>
      <c r="R111">
        <v>1.5777777777777777</v>
      </c>
      <c r="S111">
        <v>21</v>
      </c>
      <c r="T111" s="8">
        <v>0</v>
      </c>
      <c r="U111" s="7">
        <f>S111/VLOOKUP(M111,Constants!$A$2:$B$5,2,FALSE)</f>
        <v>3.36</v>
      </c>
      <c r="V111" s="7">
        <f t="shared" si="2"/>
        <v>53.013333333333328</v>
      </c>
      <c r="W111" s="13">
        <f t="shared" si="3"/>
        <v>0.30258751902587516</v>
      </c>
      <c r="X111">
        <v>56.400000000000006</v>
      </c>
    </row>
    <row r="112" spans="1:24" ht="16" x14ac:dyDescent="0.35">
      <c r="A112" s="11" t="s">
        <v>26</v>
      </c>
      <c r="B112" s="4" t="s">
        <v>31</v>
      </c>
      <c r="C112">
        <v>2024</v>
      </c>
      <c r="D112" t="s">
        <v>10</v>
      </c>
      <c r="E112" t="s">
        <v>11</v>
      </c>
      <c r="F112" t="s">
        <v>11</v>
      </c>
      <c r="G112" t="s">
        <v>16</v>
      </c>
      <c r="H112" t="s">
        <v>16</v>
      </c>
      <c r="I112" t="s">
        <v>11</v>
      </c>
      <c r="L112" s="4" t="s">
        <v>20</v>
      </c>
      <c r="M112" s="4" t="s">
        <v>18</v>
      </c>
      <c r="P112" s="5">
        <v>10</v>
      </c>
      <c r="Q112">
        <v>10</v>
      </c>
      <c r="R112">
        <v>1.1037037037037036</v>
      </c>
      <c r="S112">
        <v>20</v>
      </c>
      <c r="T112" s="8">
        <v>0</v>
      </c>
      <c r="U112" s="7">
        <f>S112/VLOOKUP(M112,Constants!$A$2:$B$5,2,FALSE)</f>
        <v>3.2</v>
      </c>
      <c r="V112" s="7">
        <f t="shared" si="2"/>
        <v>35.318518518518523</v>
      </c>
      <c r="W112" s="13">
        <f t="shared" si="3"/>
        <v>3.5318518518518522</v>
      </c>
      <c r="X112">
        <v>62.099999999999994</v>
      </c>
    </row>
    <row r="113" spans="1:24" ht="16" x14ac:dyDescent="0.35">
      <c r="A113" s="11" t="s">
        <v>26</v>
      </c>
      <c r="B113" s="4" t="s">
        <v>31</v>
      </c>
      <c r="C113">
        <v>2024</v>
      </c>
      <c r="D113" t="s">
        <v>10</v>
      </c>
      <c r="E113" t="s">
        <v>11</v>
      </c>
      <c r="F113" t="s">
        <v>11</v>
      </c>
      <c r="G113" t="s">
        <v>16</v>
      </c>
      <c r="H113" t="s">
        <v>16</v>
      </c>
      <c r="I113" t="s">
        <v>11</v>
      </c>
      <c r="L113" s="4" t="s">
        <v>18</v>
      </c>
      <c r="M113" s="4" t="s">
        <v>17</v>
      </c>
      <c r="P113" s="5">
        <v>10</v>
      </c>
      <c r="Q113">
        <v>10</v>
      </c>
      <c r="R113">
        <v>1.7703703703703706</v>
      </c>
      <c r="S113">
        <v>9.4</v>
      </c>
      <c r="T113" s="8">
        <v>0</v>
      </c>
      <c r="U113" s="7">
        <f>S113/VLOOKUP(M113,Constants!$A$2:$B$5,2,FALSE)</f>
        <v>1.6206896551724139</v>
      </c>
      <c r="V113" s="7">
        <f t="shared" si="2"/>
        <v>28.692209450830148</v>
      </c>
      <c r="W113" s="13">
        <f t="shared" si="3"/>
        <v>2.8692209450830148</v>
      </c>
      <c r="X113">
        <v>44.9</v>
      </c>
    </row>
    <row r="114" spans="1:24" ht="16" x14ac:dyDescent="0.35">
      <c r="A114" s="11" t="s">
        <v>25</v>
      </c>
      <c r="B114" s="4" t="s">
        <v>31</v>
      </c>
      <c r="C114">
        <v>2024</v>
      </c>
      <c r="D114" t="s">
        <v>10</v>
      </c>
      <c r="E114" t="s">
        <v>11</v>
      </c>
      <c r="F114" t="s">
        <v>11</v>
      </c>
      <c r="G114" t="s">
        <v>16</v>
      </c>
      <c r="H114" t="s">
        <v>16</v>
      </c>
      <c r="I114" t="s">
        <v>11</v>
      </c>
      <c r="L114" s="4" t="s">
        <v>18</v>
      </c>
      <c r="M114" s="4" t="s">
        <v>17</v>
      </c>
      <c r="P114" s="5">
        <v>75.2</v>
      </c>
      <c r="Q114">
        <v>79.2</v>
      </c>
      <c r="R114">
        <v>1.6888888888888887</v>
      </c>
      <c r="S114">
        <v>10.5</v>
      </c>
      <c r="T114" s="8">
        <v>0</v>
      </c>
      <c r="U114" s="7">
        <f>S114/VLOOKUP(M114,Constants!$A$2:$B$5,2,FALSE)</f>
        <v>1.8103448275862069</v>
      </c>
      <c r="V114" s="7">
        <f t="shared" si="2"/>
        <v>30.574712643678154</v>
      </c>
      <c r="W114" s="13">
        <f t="shared" si="3"/>
        <v>0.38604435156159284</v>
      </c>
      <c r="X114">
        <v>152.94999999999999</v>
      </c>
    </row>
    <row r="115" spans="1:24" ht="16" x14ac:dyDescent="0.35">
      <c r="A115" s="11" t="s">
        <v>24</v>
      </c>
      <c r="B115" s="4" t="s">
        <v>31</v>
      </c>
      <c r="C115">
        <v>2024</v>
      </c>
      <c r="D115" t="s">
        <v>10</v>
      </c>
      <c r="E115" t="s">
        <v>11</v>
      </c>
      <c r="F115" t="s">
        <v>11</v>
      </c>
      <c r="G115" t="s">
        <v>16</v>
      </c>
      <c r="H115" t="s">
        <v>16</v>
      </c>
      <c r="I115" t="s">
        <v>11</v>
      </c>
      <c r="L115" s="4" t="s">
        <v>18</v>
      </c>
      <c r="M115" s="4" t="s">
        <v>17</v>
      </c>
      <c r="P115" s="5">
        <v>175.2</v>
      </c>
      <c r="Q115">
        <v>146.19999999999999</v>
      </c>
      <c r="R115">
        <v>1.7777777777777779</v>
      </c>
      <c r="S115">
        <v>11.7</v>
      </c>
      <c r="T115" s="8">
        <v>0</v>
      </c>
      <c r="U115" s="7">
        <f>S115/VLOOKUP(M115,Constants!$A$2:$B$5,2,FALSE)</f>
        <v>2.0172413793103448</v>
      </c>
      <c r="V115" s="7">
        <f t="shared" si="2"/>
        <v>35.862068965517238</v>
      </c>
      <c r="W115" s="13">
        <f t="shared" si="3"/>
        <v>0.24529458936742299</v>
      </c>
      <c r="X115">
        <v>141</v>
      </c>
    </row>
    <row r="116" spans="1:24" ht="16" x14ac:dyDescent="0.35">
      <c r="A116" s="11" t="s">
        <v>26</v>
      </c>
      <c r="B116" s="4" t="s">
        <v>31</v>
      </c>
      <c r="C116">
        <v>2024</v>
      </c>
      <c r="D116" t="s">
        <v>10</v>
      </c>
      <c r="E116" t="s">
        <v>11</v>
      </c>
      <c r="F116" t="s">
        <v>11</v>
      </c>
      <c r="G116" t="s">
        <v>16</v>
      </c>
      <c r="H116" t="s">
        <v>16</v>
      </c>
      <c r="I116" t="s">
        <v>11</v>
      </c>
      <c r="L116" s="4" t="s">
        <v>19</v>
      </c>
      <c r="M116" s="4" t="s">
        <v>20</v>
      </c>
      <c r="P116" s="5">
        <v>10</v>
      </c>
      <c r="Q116">
        <v>10</v>
      </c>
      <c r="R116">
        <v>0.21919879062736203</v>
      </c>
      <c r="S116">
        <v>0</v>
      </c>
      <c r="T116" s="8">
        <v>0</v>
      </c>
      <c r="U116" s="7">
        <f>S116/VLOOKUP(M116,Constants!$A$2:$B$5,2,FALSE)</f>
        <v>0</v>
      </c>
      <c r="V116" s="7">
        <f t="shared" si="2"/>
        <v>0</v>
      </c>
      <c r="W116" s="13">
        <f t="shared" si="3"/>
        <v>0</v>
      </c>
      <c r="X116">
        <v>147</v>
      </c>
    </row>
    <row r="117" spans="1:24" ht="16" x14ac:dyDescent="0.35">
      <c r="A117" s="11" t="s">
        <v>25</v>
      </c>
      <c r="B117" s="4" t="s">
        <v>31</v>
      </c>
      <c r="C117">
        <v>2024</v>
      </c>
      <c r="D117" t="s">
        <v>10</v>
      </c>
      <c r="E117" t="s">
        <v>11</v>
      </c>
      <c r="F117" t="s">
        <v>11</v>
      </c>
      <c r="G117" t="s">
        <v>16</v>
      </c>
      <c r="H117" t="s">
        <v>16</v>
      </c>
      <c r="I117" t="s">
        <v>11</v>
      </c>
      <c r="L117" s="4" t="s">
        <v>19</v>
      </c>
      <c r="M117" s="4" t="s">
        <v>20</v>
      </c>
      <c r="P117" s="5">
        <v>79.2</v>
      </c>
      <c r="Q117">
        <v>10</v>
      </c>
      <c r="R117">
        <v>0.13605442176870747</v>
      </c>
      <c r="S117">
        <v>0</v>
      </c>
      <c r="T117" s="8">
        <v>0</v>
      </c>
      <c r="U117" s="7">
        <f>S117/VLOOKUP(M117,Constants!$A$2:$B$5,2,FALSE)</f>
        <v>0</v>
      </c>
      <c r="V117" s="7">
        <f t="shared" si="2"/>
        <v>0</v>
      </c>
      <c r="W117" s="13">
        <f t="shared" si="3"/>
        <v>0</v>
      </c>
      <c r="X117">
        <v>148.6</v>
      </c>
    </row>
    <row r="118" spans="1:24" ht="16" x14ac:dyDescent="0.35">
      <c r="A118" s="11" t="s">
        <v>24</v>
      </c>
      <c r="B118" s="4" t="s">
        <v>31</v>
      </c>
      <c r="C118">
        <v>2024</v>
      </c>
      <c r="D118" t="s">
        <v>10</v>
      </c>
      <c r="E118" t="s">
        <v>11</v>
      </c>
      <c r="F118" t="s">
        <v>11</v>
      </c>
      <c r="G118" t="s">
        <v>16</v>
      </c>
      <c r="H118" t="s">
        <v>16</v>
      </c>
      <c r="I118" t="s">
        <v>11</v>
      </c>
      <c r="L118" s="4" t="s">
        <v>19</v>
      </c>
      <c r="M118" s="4" t="s">
        <v>20</v>
      </c>
      <c r="P118" s="5">
        <v>146.19999999999999</v>
      </c>
      <c r="Q118">
        <v>10</v>
      </c>
      <c r="R118">
        <v>0.30234315948601659</v>
      </c>
      <c r="S118">
        <v>0</v>
      </c>
      <c r="T118" s="8">
        <v>0</v>
      </c>
      <c r="U118" s="7">
        <f>S118/VLOOKUP(M118,Constants!$A$2:$B$5,2,FALSE)</f>
        <v>0</v>
      </c>
      <c r="V118" s="7">
        <f t="shared" si="2"/>
        <v>0</v>
      </c>
      <c r="W118" s="13">
        <f t="shared" si="3"/>
        <v>0</v>
      </c>
      <c r="X118">
        <v>140.30000000000001</v>
      </c>
    </row>
    <row r="119" spans="1:24" ht="16" x14ac:dyDescent="0.35">
      <c r="A119" s="11" t="s">
        <v>24</v>
      </c>
      <c r="B119" s="4" t="s">
        <v>31</v>
      </c>
      <c r="C119">
        <v>2024</v>
      </c>
      <c r="D119" t="s">
        <v>10</v>
      </c>
      <c r="E119" t="s">
        <v>11</v>
      </c>
      <c r="F119" t="s">
        <v>11</v>
      </c>
      <c r="G119" t="s">
        <v>16</v>
      </c>
      <c r="H119" t="s">
        <v>16</v>
      </c>
      <c r="I119" t="s">
        <v>11</v>
      </c>
      <c r="L119" s="4" t="s">
        <v>17</v>
      </c>
      <c r="M119" s="4" t="s">
        <v>19</v>
      </c>
      <c r="P119" s="5">
        <v>146.19999999999999</v>
      </c>
      <c r="Q119">
        <v>146.19999999999999</v>
      </c>
      <c r="R119">
        <v>2.9259259259259265</v>
      </c>
      <c r="S119">
        <v>9.4</v>
      </c>
      <c r="T119" s="8">
        <v>0</v>
      </c>
      <c r="U119" s="7">
        <f>S119/VLOOKUP(M119,Constants!$A$2:$B$5,2,FALSE)</f>
        <v>1.6755793226381461</v>
      </c>
      <c r="V119" s="7">
        <f t="shared" si="2"/>
        <v>49.02620981052354</v>
      </c>
      <c r="W119" s="13">
        <f t="shared" si="3"/>
        <v>0.33533659241124175</v>
      </c>
      <c r="X119" t="s">
        <v>37</v>
      </c>
    </row>
    <row r="120" spans="1:24" ht="16" x14ac:dyDescent="0.35">
      <c r="A120" s="11" t="s">
        <v>25</v>
      </c>
      <c r="B120" s="4" t="s">
        <v>31</v>
      </c>
      <c r="C120">
        <v>2024</v>
      </c>
      <c r="D120" t="s">
        <v>10</v>
      </c>
      <c r="E120" t="s">
        <v>11</v>
      </c>
      <c r="F120" t="s">
        <v>11</v>
      </c>
      <c r="G120" t="s">
        <v>16</v>
      </c>
      <c r="H120" t="s">
        <v>16</v>
      </c>
      <c r="I120" t="s">
        <v>11</v>
      </c>
      <c r="L120" s="4" t="s">
        <v>17</v>
      </c>
      <c r="M120" s="4" t="s">
        <v>19</v>
      </c>
      <c r="P120" s="5">
        <v>79.2</v>
      </c>
      <c r="Q120">
        <v>79.2</v>
      </c>
      <c r="R120">
        <v>1.9037037037037035</v>
      </c>
      <c r="S120">
        <v>9.1999999999999993</v>
      </c>
      <c r="T120" s="8">
        <v>0</v>
      </c>
      <c r="U120" s="7">
        <f>S120/VLOOKUP(M120,Constants!$A$2:$B$5,2,FALSE)</f>
        <v>1.6399286987522279</v>
      </c>
      <c r="V120" s="7">
        <f t="shared" si="2"/>
        <v>31.21938337624611</v>
      </c>
      <c r="W120" s="13">
        <f t="shared" si="3"/>
        <v>0.39418413353846099</v>
      </c>
      <c r="X120" t="s">
        <v>37</v>
      </c>
    </row>
    <row r="121" spans="1:24" ht="16" x14ac:dyDescent="0.35">
      <c r="A121" s="11" t="s">
        <v>26</v>
      </c>
      <c r="B121" s="4" t="s">
        <v>31</v>
      </c>
      <c r="C121">
        <v>2024</v>
      </c>
      <c r="D121" t="s">
        <v>10</v>
      </c>
      <c r="E121" t="s">
        <v>11</v>
      </c>
      <c r="F121" t="s">
        <v>11</v>
      </c>
      <c r="G121" t="s">
        <v>16</v>
      </c>
      <c r="H121" t="s">
        <v>16</v>
      </c>
      <c r="I121" t="s">
        <v>11</v>
      </c>
      <c r="L121" s="4" t="s">
        <v>17</v>
      </c>
      <c r="M121" s="4" t="s">
        <v>19</v>
      </c>
      <c r="P121" s="5">
        <v>10</v>
      </c>
      <c r="Q121">
        <v>10</v>
      </c>
      <c r="R121">
        <v>0.25925925925925924</v>
      </c>
      <c r="S121">
        <v>9.8000000000000007</v>
      </c>
      <c r="T121" s="8">
        <v>0</v>
      </c>
      <c r="U121" s="7">
        <f>S121/VLOOKUP(M121,Constants!$A$2:$B$5,2,FALSE)</f>
        <v>1.7468805704099821</v>
      </c>
      <c r="V121" s="7">
        <f t="shared" si="2"/>
        <v>4.5289496269888421</v>
      </c>
      <c r="W121" s="13">
        <f t="shared" si="3"/>
        <v>0.45289496269888418</v>
      </c>
      <c r="X121" t="s">
        <v>37</v>
      </c>
    </row>
    <row r="122" spans="1:24" ht="16" x14ac:dyDescent="0.35">
      <c r="A122" s="11" t="s">
        <v>24</v>
      </c>
      <c r="B122" s="4" t="s">
        <v>30</v>
      </c>
      <c r="C122">
        <v>2024</v>
      </c>
      <c r="D122" t="s">
        <v>10</v>
      </c>
      <c r="E122" t="s">
        <v>11</v>
      </c>
      <c r="F122" t="s">
        <v>11</v>
      </c>
      <c r="G122" t="s">
        <v>16</v>
      </c>
      <c r="H122" t="s">
        <v>16</v>
      </c>
      <c r="I122" t="s">
        <v>11</v>
      </c>
      <c r="L122" s="4" t="s">
        <v>19</v>
      </c>
      <c r="M122" s="4" t="s">
        <v>20</v>
      </c>
      <c r="P122" s="5">
        <v>146.19999999999999</v>
      </c>
      <c r="Q122">
        <v>10</v>
      </c>
      <c r="R122">
        <v>0.17384731670445952</v>
      </c>
      <c r="S122">
        <v>0</v>
      </c>
      <c r="T122" s="8">
        <v>0</v>
      </c>
      <c r="U122" s="7">
        <f>S122/VLOOKUP(M122,Constants!$A$2:$B$5,2,FALSE)</f>
        <v>0</v>
      </c>
      <c r="V122" s="7">
        <f t="shared" si="2"/>
        <v>0</v>
      </c>
      <c r="W122" s="13">
        <f t="shared" si="3"/>
        <v>0</v>
      </c>
      <c r="X122">
        <v>164.05</v>
      </c>
    </row>
    <row r="123" spans="1:24" ht="16" x14ac:dyDescent="0.35">
      <c r="A123" s="11" t="s">
        <v>26</v>
      </c>
      <c r="B123" s="4" t="s">
        <v>30</v>
      </c>
      <c r="C123">
        <v>2024</v>
      </c>
      <c r="D123" t="s">
        <v>10</v>
      </c>
      <c r="E123" t="s">
        <v>11</v>
      </c>
      <c r="F123" t="s">
        <v>11</v>
      </c>
      <c r="G123" t="s">
        <v>16</v>
      </c>
      <c r="H123" t="s">
        <v>16</v>
      </c>
      <c r="I123" t="s">
        <v>11</v>
      </c>
      <c r="L123" s="4" t="s">
        <v>19</v>
      </c>
      <c r="M123" s="4" t="s">
        <v>20</v>
      </c>
      <c r="P123" s="5">
        <v>10</v>
      </c>
      <c r="Q123">
        <v>10</v>
      </c>
      <c r="R123">
        <v>0.43083900226757355</v>
      </c>
      <c r="S123">
        <v>0</v>
      </c>
      <c r="T123" s="8">
        <v>0</v>
      </c>
      <c r="U123" s="7">
        <f>S123/VLOOKUP(M123,Constants!$A$2:$B$5,2,FALSE)</f>
        <v>0</v>
      </c>
      <c r="V123" s="7">
        <f t="shared" si="2"/>
        <v>0</v>
      </c>
      <c r="W123" s="13">
        <f t="shared" si="3"/>
        <v>0</v>
      </c>
      <c r="X123">
        <v>146.69999999999999</v>
      </c>
    </row>
    <row r="124" spans="1:24" ht="16" x14ac:dyDescent="0.35">
      <c r="A124" s="11" t="s">
        <v>25</v>
      </c>
      <c r="B124" s="4" t="s">
        <v>30</v>
      </c>
      <c r="C124">
        <v>2024</v>
      </c>
      <c r="D124" t="s">
        <v>10</v>
      </c>
      <c r="E124" t="s">
        <v>11</v>
      </c>
      <c r="F124" t="s">
        <v>11</v>
      </c>
      <c r="G124" t="s">
        <v>16</v>
      </c>
      <c r="H124" t="s">
        <v>16</v>
      </c>
      <c r="I124" t="s">
        <v>11</v>
      </c>
      <c r="L124" s="4" t="s">
        <v>19</v>
      </c>
      <c r="M124" s="4" t="s">
        <v>20</v>
      </c>
      <c r="P124" s="5">
        <v>79.2</v>
      </c>
      <c r="Q124">
        <v>10</v>
      </c>
      <c r="R124">
        <v>0.38548752834467115</v>
      </c>
      <c r="S124">
        <v>0</v>
      </c>
      <c r="T124" s="8">
        <v>0</v>
      </c>
      <c r="U124" s="7">
        <f>S124/VLOOKUP(M124,Constants!$A$2:$B$5,2,FALSE)</f>
        <v>0</v>
      </c>
      <c r="V124" s="7">
        <f t="shared" si="2"/>
        <v>0</v>
      </c>
      <c r="W124" s="13">
        <f t="shared" si="3"/>
        <v>0</v>
      </c>
      <c r="X124">
        <v>161.85</v>
      </c>
    </row>
    <row r="125" spans="1:24" ht="16" x14ac:dyDescent="0.35">
      <c r="A125" s="11" t="s">
        <v>25</v>
      </c>
      <c r="B125" s="4" t="s">
        <v>31</v>
      </c>
      <c r="C125">
        <v>2024</v>
      </c>
      <c r="D125" t="s">
        <v>10</v>
      </c>
      <c r="E125" t="s">
        <v>11</v>
      </c>
      <c r="F125" t="s">
        <v>11</v>
      </c>
      <c r="G125" t="s">
        <v>16</v>
      </c>
      <c r="H125" t="s">
        <v>16</v>
      </c>
      <c r="I125" t="s">
        <v>11</v>
      </c>
      <c r="L125" s="4" t="s">
        <v>20</v>
      </c>
      <c r="M125" s="4" t="s">
        <v>18</v>
      </c>
      <c r="P125" s="5">
        <v>10</v>
      </c>
      <c r="Q125">
        <v>75.2</v>
      </c>
      <c r="R125">
        <v>1.9349962207105063</v>
      </c>
      <c r="S125">
        <v>19.899999999999999</v>
      </c>
      <c r="T125" s="8">
        <v>0</v>
      </c>
      <c r="U125" s="7">
        <f>S125/VLOOKUP(M125,Constants!$A$2:$B$5,2,FALSE)</f>
        <v>3.1839999999999997</v>
      </c>
      <c r="V125" s="7">
        <f t="shared" si="2"/>
        <v>61.610279667422517</v>
      </c>
      <c r="W125" s="13">
        <f t="shared" si="3"/>
        <v>0.8192856338752994</v>
      </c>
      <c r="X125">
        <v>143.5</v>
      </c>
    </row>
    <row r="126" spans="1:24" ht="16" x14ac:dyDescent="0.35">
      <c r="A126" s="11" t="s">
        <v>24</v>
      </c>
      <c r="B126" s="4" t="s">
        <v>31</v>
      </c>
      <c r="C126">
        <v>2024</v>
      </c>
      <c r="D126" t="s">
        <v>10</v>
      </c>
      <c r="E126" t="s">
        <v>11</v>
      </c>
      <c r="F126" t="s">
        <v>11</v>
      </c>
      <c r="G126" t="s">
        <v>16</v>
      </c>
      <c r="H126" t="s">
        <v>16</v>
      </c>
      <c r="I126" t="s">
        <v>11</v>
      </c>
      <c r="L126" s="4" t="s">
        <v>20</v>
      </c>
      <c r="M126" s="4" t="s">
        <v>18</v>
      </c>
      <c r="P126" s="5">
        <v>10</v>
      </c>
      <c r="Q126">
        <v>175.2</v>
      </c>
      <c r="R126">
        <v>1.7687074829931968</v>
      </c>
      <c r="S126">
        <v>20.399999999999999</v>
      </c>
      <c r="T126" s="8">
        <v>0</v>
      </c>
      <c r="U126" s="7">
        <f>S126/VLOOKUP(M126,Constants!$A$2:$B$5,2,FALSE)</f>
        <v>3.2639999999999998</v>
      </c>
      <c r="V126" s="7">
        <f t="shared" si="2"/>
        <v>57.730612244897934</v>
      </c>
      <c r="W126" s="13">
        <f t="shared" si="3"/>
        <v>0.32951262696859551</v>
      </c>
      <c r="X126">
        <v>88.25</v>
      </c>
    </row>
    <row r="127" spans="1:24" ht="16" x14ac:dyDescent="0.35">
      <c r="A127" s="11" t="s">
        <v>26</v>
      </c>
      <c r="B127" s="4" t="s">
        <v>31</v>
      </c>
      <c r="C127">
        <v>2024</v>
      </c>
      <c r="D127" t="s">
        <v>10</v>
      </c>
      <c r="E127" t="s">
        <v>11</v>
      </c>
      <c r="F127" t="s">
        <v>11</v>
      </c>
      <c r="G127" t="s">
        <v>16</v>
      </c>
      <c r="H127" t="s">
        <v>16</v>
      </c>
      <c r="I127" t="s">
        <v>11</v>
      </c>
      <c r="L127" s="4" t="s">
        <v>20</v>
      </c>
      <c r="M127" s="4" t="s">
        <v>18</v>
      </c>
      <c r="P127" s="5">
        <v>10</v>
      </c>
      <c r="Q127">
        <v>10</v>
      </c>
      <c r="R127">
        <v>1.5419501133786846</v>
      </c>
      <c r="S127">
        <v>18.8</v>
      </c>
      <c r="T127" s="8">
        <v>0</v>
      </c>
      <c r="U127" s="7">
        <f>S127/VLOOKUP(M127,Constants!$A$2:$B$5,2,FALSE)</f>
        <v>3.008</v>
      </c>
      <c r="V127" s="7">
        <f t="shared" si="2"/>
        <v>46.381859410430835</v>
      </c>
      <c r="W127" s="13">
        <f t="shared" si="3"/>
        <v>4.6381859410430835</v>
      </c>
      <c r="X127">
        <v>89.15</v>
      </c>
    </row>
    <row r="128" spans="1:24" ht="16" x14ac:dyDescent="0.35">
      <c r="A128" s="11" t="s">
        <v>26</v>
      </c>
      <c r="B128" s="4" t="s">
        <v>31</v>
      </c>
      <c r="C128">
        <v>2024</v>
      </c>
      <c r="D128" t="s">
        <v>10</v>
      </c>
      <c r="E128" t="s">
        <v>11</v>
      </c>
      <c r="F128" t="s">
        <v>11</v>
      </c>
      <c r="G128" t="s">
        <v>16</v>
      </c>
      <c r="H128" t="s">
        <v>16</v>
      </c>
      <c r="I128" t="s">
        <v>11</v>
      </c>
      <c r="L128" s="4" t="s">
        <v>18</v>
      </c>
      <c r="M128" s="4" t="s">
        <v>17</v>
      </c>
      <c r="P128" s="5">
        <v>10</v>
      </c>
      <c r="Q128">
        <v>10</v>
      </c>
      <c r="R128">
        <v>2.6962962962962966</v>
      </c>
      <c r="S128">
        <v>8.4</v>
      </c>
      <c r="T128" s="8">
        <v>0</v>
      </c>
      <c r="U128" s="7">
        <f>S128/VLOOKUP(M128,Constants!$A$2:$B$5,2,FALSE)</f>
        <v>1.4482758620689655</v>
      </c>
      <c r="V128" s="7">
        <f t="shared" si="2"/>
        <v>39.049808429118784</v>
      </c>
      <c r="W128" s="13">
        <f t="shared" si="3"/>
        <v>3.9049808429118782</v>
      </c>
      <c r="X128">
        <v>32.85</v>
      </c>
    </row>
    <row r="129" spans="1:24" ht="16" x14ac:dyDescent="0.35">
      <c r="A129" s="11" t="s">
        <v>24</v>
      </c>
      <c r="B129" s="4" t="s">
        <v>31</v>
      </c>
      <c r="C129">
        <v>2024</v>
      </c>
      <c r="D129" t="s">
        <v>10</v>
      </c>
      <c r="E129" t="s">
        <v>11</v>
      </c>
      <c r="F129" t="s">
        <v>11</v>
      </c>
      <c r="G129" t="s">
        <v>16</v>
      </c>
      <c r="H129" t="s">
        <v>16</v>
      </c>
      <c r="I129" t="s">
        <v>11</v>
      </c>
      <c r="L129" s="4" t="s">
        <v>18</v>
      </c>
      <c r="M129" s="4" t="s">
        <v>17</v>
      </c>
      <c r="P129" s="5">
        <v>175.2</v>
      </c>
      <c r="Q129">
        <v>146.19999999999999</v>
      </c>
      <c r="R129">
        <v>3.8888888888888888</v>
      </c>
      <c r="S129">
        <v>10</v>
      </c>
      <c r="T129" s="8">
        <v>0</v>
      </c>
      <c r="U129" s="7">
        <f>S129/VLOOKUP(M129,Constants!$A$2:$B$5,2,FALSE)</f>
        <v>1.7241379310344829</v>
      </c>
      <c r="V129" s="7">
        <f t="shared" si="2"/>
        <v>67.049808429118769</v>
      </c>
      <c r="W129" s="13">
        <f t="shared" si="3"/>
        <v>0.45861702071900667</v>
      </c>
      <c r="X129">
        <v>84.1</v>
      </c>
    </row>
    <row r="130" spans="1:24" ht="16" x14ac:dyDescent="0.35">
      <c r="A130" s="11" t="s">
        <v>25</v>
      </c>
      <c r="B130" s="4" t="s">
        <v>31</v>
      </c>
      <c r="C130">
        <v>2024</v>
      </c>
      <c r="D130" t="s">
        <v>10</v>
      </c>
      <c r="E130" t="s">
        <v>11</v>
      </c>
      <c r="F130" t="s">
        <v>11</v>
      </c>
      <c r="G130" t="s">
        <v>16</v>
      </c>
      <c r="H130" t="s">
        <v>16</v>
      </c>
      <c r="I130" t="s">
        <v>11</v>
      </c>
      <c r="L130" s="4" t="s">
        <v>18</v>
      </c>
      <c r="M130" s="4" t="s">
        <v>17</v>
      </c>
      <c r="P130" s="5">
        <v>75.2</v>
      </c>
      <c r="Q130">
        <v>79.2</v>
      </c>
      <c r="R130">
        <v>4.4444444444444446</v>
      </c>
      <c r="S130">
        <v>9.1999999999999993</v>
      </c>
      <c r="T130" s="8">
        <v>0</v>
      </c>
      <c r="U130" s="7">
        <f>S130/VLOOKUP(M130,Constants!$A$2:$B$5,2,FALSE)</f>
        <v>1.586206896551724</v>
      </c>
      <c r="V130" s="7">
        <f t="shared" si="2"/>
        <v>70.498084291187723</v>
      </c>
      <c r="W130" s="13">
        <f t="shared" si="3"/>
        <v>0.89012732690893581</v>
      </c>
      <c r="X130">
        <v>41.85</v>
      </c>
    </row>
    <row r="131" spans="1:24" ht="16" x14ac:dyDescent="0.35">
      <c r="A131" s="11" t="s">
        <v>26</v>
      </c>
      <c r="B131" s="4" t="s">
        <v>29</v>
      </c>
      <c r="C131">
        <v>2024</v>
      </c>
      <c r="D131" t="s">
        <v>10</v>
      </c>
      <c r="E131" t="s">
        <v>11</v>
      </c>
      <c r="F131" t="s">
        <v>11</v>
      </c>
      <c r="G131" t="s">
        <v>16</v>
      </c>
      <c r="H131" t="s">
        <v>16</v>
      </c>
      <c r="I131" t="s">
        <v>11</v>
      </c>
      <c r="L131" s="4" t="s">
        <v>18</v>
      </c>
      <c r="M131" s="4" t="s">
        <v>17</v>
      </c>
      <c r="P131" s="5">
        <v>10</v>
      </c>
      <c r="Q131">
        <v>10</v>
      </c>
      <c r="R131">
        <v>4.180418041804181</v>
      </c>
      <c r="S131">
        <v>9.1</v>
      </c>
      <c r="T131" s="8">
        <v>0</v>
      </c>
      <c r="U131" s="7">
        <f>S131/VLOOKUP(M131,Constants!$A$2:$B$5,2,FALSE)</f>
        <v>1.5689655172413792</v>
      </c>
      <c r="V131" s="7">
        <f t="shared" ref="V131:V181" si="4">U131/100*R131*1000</f>
        <v>65.589317552444896</v>
      </c>
      <c r="W131" s="13">
        <f t="shared" ref="W131:W181" si="5">V131/Q131</f>
        <v>6.5589317552444895</v>
      </c>
      <c r="X131">
        <v>34.65</v>
      </c>
    </row>
    <row r="132" spans="1:24" ht="16" x14ac:dyDescent="0.35">
      <c r="A132" s="11" t="s">
        <v>25</v>
      </c>
      <c r="B132" s="4" t="s">
        <v>29</v>
      </c>
      <c r="C132">
        <v>2024</v>
      </c>
      <c r="D132" t="s">
        <v>10</v>
      </c>
      <c r="E132" t="s">
        <v>11</v>
      </c>
      <c r="F132" t="s">
        <v>11</v>
      </c>
      <c r="G132" t="s">
        <v>16</v>
      </c>
      <c r="H132" t="s">
        <v>16</v>
      </c>
      <c r="I132" t="s">
        <v>11</v>
      </c>
      <c r="L132" s="4" t="s">
        <v>18</v>
      </c>
      <c r="M132" s="4" t="s">
        <v>17</v>
      </c>
      <c r="P132" s="5">
        <v>75.2</v>
      </c>
      <c r="Q132">
        <v>79.2</v>
      </c>
      <c r="R132">
        <v>4.3417675100843418</v>
      </c>
      <c r="S132">
        <v>9.1999999999999993</v>
      </c>
      <c r="T132" s="8">
        <v>0</v>
      </c>
      <c r="U132" s="7">
        <f>S132/VLOOKUP(M132,Constants!$A$2:$B$5,2,FALSE)</f>
        <v>1.586206896551724</v>
      </c>
      <c r="V132" s="7">
        <f t="shared" si="4"/>
        <v>68.869415677199896</v>
      </c>
      <c r="W132" s="13">
        <f t="shared" si="5"/>
        <v>0.8695633292575744</v>
      </c>
      <c r="X132">
        <v>77.150000000000006</v>
      </c>
    </row>
    <row r="133" spans="1:24" ht="16" x14ac:dyDescent="0.35">
      <c r="A133" s="11" t="s">
        <v>24</v>
      </c>
      <c r="B133" s="4" t="s">
        <v>29</v>
      </c>
      <c r="C133">
        <v>2024</v>
      </c>
      <c r="D133" t="s">
        <v>10</v>
      </c>
      <c r="E133" t="s">
        <v>11</v>
      </c>
      <c r="F133" t="s">
        <v>11</v>
      </c>
      <c r="G133" t="s">
        <v>16</v>
      </c>
      <c r="H133" t="s">
        <v>16</v>
      </c>
      <c r="I133" t="s">
        <v>11</v>
      </c>
      <c r="L133" s="4" t="s">
        <v>18</v>
      </c>
      <c r="M133" s="4" t="s">
        <v>17</v>
      </c>
      <c r="P133" s="5">
        <v>175.2</v>
      </c>
      <c r="Q133">
        <v>146.19999999999999</v>
      </c>
      <c r="R133">
        <v>4.4664466446644662</v>
      </c>
      <c r="S133">
        <v>10.6</v>
      </c>
      <c r="T133" s="8">
        <v>0</v>
      </c>
      <c r="U133" s="7">
        <f>S133/VLOOKUP(M133,Constants!$A$2:$B$5,2,FALSE)</f>
        <v>1.8275862068965518</v>
      </c>
      <c r="V133" s="7">
        <f t="shared" si="4"/>
        <v>81.62816281628163</v>
      </c>
      <c r="W133" s="13">
        <f t="shared" si="5"/>
        <v>0.55833216700603039</v>
      </c>
      <c r="X133">
        <v>69.650000000000006</v>
      </c>
    </row>
    <row r="134" spans="1:24" ht="16" x14ac:dyDescent="0.35">
      <c r="A134" s="11" t="s">
        <v>24</v>
      </c>
      <c r="B134" s="4" t="s">
        <v>31</v>
      </c>
      <c r="C134">
        <v>2024</v>
      </c>
      <c r="D134" t="s">
        <v>10</v>
      </c>
      <c r="E134" t="s">
        <v>11</v>
      </c>
      <c r="F134" t="s">
        <v>11</v>
      </c>
      <c r="G134" t="s">
        <v>16</v>
      </c>
      <c r="H134" t="s">
        <v>16</v>
      </c>
      <c r="I134" t="s">
        <v>11</v>
      </c>
      <c r="L134" s="4" t="s">
        <v>17</v>
      </c>
      <c r="M134" s="4" t="s">
        <v>19</v>
      </c>
      <c r="P134" s="5">
        <v>146.19999999999999</v>
      </c>
      <c r="Q134">
        <v>146.19999999999999</v>
      </c>
      <c r="R134">
        <v>5.7185185185185183</v>
      </c>
      <c r="S134">
        <v>11.3</v>
      </c>
      <c r="T134" s="8">
        <v>0</v>
      </c>
      <c r="U134" s="7">
        <f>S134/VLOOKUP(M134,Constants!$A$2:$B$5,2,FALSE)</f>
        <v>2.0142602495543671</v>
      </c>
      <c r="V134" s="7">
        <f t="shared" si="4"/>
        <v>115.18584538192381</v>
      </c>
      <c r="W134" s="13">
        <f t="shared" si="5"/>
        <v>0.78786487949332296</v>
      </c>
      <c r="X134">
        <v>79.349999999999994</v>
      </c>
    </row>
    <row r="135" spans="1:24" ht="16" x14ac:dyDescent="0.35">
      <c r="A135" s="11" t="s">
        <v>25</v>
      </c>
      <c r="B135" s="4" t="s">
        <v>31</v>
      </c>
      <c r="C135">
        <v>2024</v>
      </c>
      <c r="D135" t="s">
        <v>10</v>
      </c>
      <c r="E135" t="s">
        <v>11</v>
      </c>
      <c r="F135" t="s">
        <v>11</v>
      </c>
      <c r="G135" t="s">
        <v>16</v>
      </c>
      <c r="H135" t="s">
        <v>16</v>
      </c>
      <c r="I135" t="s">
        <v>11</v>
      </c>
      <c r="L135" s="4" t="s">
        <v>17</v>
      </c>
      <c r="M135" s="4" t="s">
        <v>19</v>
      </c>
      <c r="P135" s="5">
        <v>79.2</v>
      </c>
      <c r="Q135">
        <v>79.2</v>
      </c>
      <c r="R135">
        <v>5.162962962962963</v>
      </c>
      <c r="S135">
        <v>9.5</v>
      </c>
      <c r="T135" s="8">
        <v>0</v>
      </c>
      <c r="U135" s="7">
        <f>S135/VLOOKUP(M135,Constants!$A$2:$B$5,2,FALSE)</f>
        <v>1.6934046345811051</v>
      </c>
      <c r="V135" s="7">
        <f t="shared" si="4"/>
        <v>87.429854096520771</v>
      </c>
      <c r="W135" s="13">
        <f t="shared" si="5"/>
        <v>1.1039122991984944</v>
      </c>
      <c r="X135">
        <v>47.7</v>
      </c>
    </row>
    <row r="136" spans="1:24" ht="16" x14ac:dyDescent="0.35">
      <c r="A136" s="11" t="s">
        <v>26</v>
      </c>
      <c r="B136" s="4" t="s">
        <v>31</v>
      </c>
      <c r="C136">
        <v>2024</v>
      </c>
      <c r="D136" t="s">
        <v>10</v>
      </c>
      <c r="E136" t="s">
        <v>11</v>
      </c>
      <c r="F136" t="s">
        <v>11</v>
      </c>
      <c r="G136" t="s">
        <v>16</v>
      </c>
      <c r="H136" t="s">
        <v>16</v>
      </c>
      <c r="I136" t="s">
        <v>11</v>
      </c>
      <c r="L136" s="4" t="s">
        <v>17</v>
      </c>
      <c r="M136" s="4" t="s">
        <v>19</v>
      </c>
      <c r="P136" s="5">
        <v>10</v>
      </c>
      <c r="Q136">
        <v>10</v>
      </c>
      <c r="R136">
        <v>4.2740740740740737</v>
      </c>
      <c r="S136">
        <v>7.7</v>
      </c>
      <c r="T136" s="8">
        <v>0</v>
      </c>
      <c r="U136" s="7">
        <f>S136/VLOOKUP(M136,Constants!$A$2:$B$5,2,FALSE)</f>
        <v>1.3725490196078431</v>
      </c>
      <c r="V136" s="7">
        <f t="shared" si="4"/>
        <v>58.663761801016697</v>
      </c>
      <c r="W136" s="13">
        <f t="shared" si="5"/>
        <v>5.8663761801016694</v>
      </c>
      <c r="X136">
        <v>53.7</v>
      </c>
    </row>
    <row r="137" spans="1:24" ht="16" x14ac:dyDescent="0.35">
      <c r="A137" s="11" t="s">
        <v>25</v>
      </c>
      <c r="B137" s="4" t="s">
        <v>29</v>
      </c>
      <c r="C137">
        <v>2024</v>
      </c>
      <c r="D137" t="s">
        <v>10</v>
      </c>
      <c r="E137" t="s">
        <v>11</v>
      </c>
      <c r="F137" t="s">
        <v>11</v>
      </c>
      <c r="G137" t="s">
        <v>16</v>
      </c>
      <c r="H137" t="s">
        <v>16</v>
      </c>
      <c r="I137" t="s">
        <v>11</v>
      </c>
      <c r="L137" s="4" t="s">
        <v>17</v>
      </c>
      <c r="M137" s="4" t="s">
        <v>18</v>
      </c>
      <c r="P137" s="5">
        <v>79.2</v>
      </c>
      <c r="Q137">
        <v>75.2</v>
      </c>
      <c r="R137">
        <v>1.728395061728395</v>
      </c>
      <c r="S137">
        <v>18.7</v>
      </c>
      <c r="T137" s="8">
        <v>0</v>
      </c>
      <c r="U137" s="7">
        <f>S137/VLOOKUP(M137,Constants!$A$2:$B$5,2,FALSE)</f>
        <v>2.992</v>
      </c>
      <c r="V137" s="7">
        <f t="shared" si="4"/>
        <v>51.713580246913573</v>
      </c>
      <c r="W137" s="13">
        <f t="shared" si="5"/>
        <v>0.68768058838980817</v>
      </c>
      <c r="X137">
        <v>95.65</v>
      </c>
    </row>
    <row r="138" spans="1:24" ht="16" x14ac:dyDescent="0.35">
      <c r="A138" s="11" t="s">
        <v>26</v>
      </c>
      <c r="B138" s="4" t="s">
        <v>29</v>
      </c>
      <c r="C138">
        <v>2024</v>
      </c>
      <c r="D138" t="s">
        <v>10</v>
      </c>
      <c r="E138" t="s">
        <v>11</v>
      </c>
      <c r="F138" t="s">
        <v>11</v>
      </c>
      <c r="G138" t="s">
        <v>16</v>
      </c>
      <c r="H138" t="s">
        <v>16</v>
      </c>
      <c r="I138" t="s">
        <v>11</v>
      </c>
      <c r="L138" s="4" t="s">
        <v>17</v>
      </c>
      <c r="M138" s="4" t="s">
        <v>18</v>
      </c>
      <c r="P138" s="5">
        <v>10</v>
      </c>
      <c r="Q138">
        <v>10</v>
      </c>
      <c r="R138">
        <v>1.728395061728395</v>
      </c>
      <c r="S138">
        <v>20.5</v>
      </c>
      <c r="T138" s="8">
        <v>0</v>
      </c>
      <c r="U138" s="7">
        <f>S138/VLOOKUP(M138,Constants!$A$2:$B$5,2,FALSE)</f>
        <v>3.28</v>
      </c>
      <c r="V138" s="7">
        <f t="shared" si="4"/>
        <v>56.691358024691347</v>
      </c>
      <c r="W138" s="13">
        <f t="shared" si="5"/>
        <v>5.6691358024691345</v>
      </c>
      <c r="X138">
        <v>74.8</v>
      </c>
    </row>
    <row r="139" spans="1:24" ht="16" x14ac:dyDescent="0.35">
      <c r="A139" s="11" t="s">
        <v>24</v>
      </c>
      <c r="B139" s="4" t="s">
        <v>29</v>
      </c>
      <c r="C139">
        <v>2024</v>
      </c>
      <c r="D139" t="s">
        <v>10</v>
      </c>
      <c r="E139" t="s">
        <v>11</v>
      </c>
      <c r="F139" t="s">
        <v>11</v>
      </c>
      <c r="G139" t="s">
        <v>16</v>
      </c>
      <c r="H139" t="s">
        <v>16</v>
      </c>
      <c r="I139" t="s">
        <v>11</v>
      </c>
      <c r="L139" s="4" t="s">
        <v>17</v>
      </c>
      <c r="M139" s="4" t="s">
        <v>18</v>
      </c>
      <c r="P139" s="5">
        <v>146.19999999999999</v>
      </c>
      <c r="Q139">
        <v>175.2</v>
      </c>
      <c r="R139">
        <v>1.7138707334785765</v>
      </c>
      <c r="S139">
        <v>18.8</v>
      </c>
      <c r="T139" s="8">
        <v>0</v>
      </c>
      <c r="U139" s="7">
        <f>S139/VLOOKUP(M139,Constants!$A$2:$B$5,2,FALSE)</f>
        <v>3.008</v>
      </c>
      <c r="V139" s="7">
        <f t="shared" si="4"/>
        <v>51.553231663035582</v>
      </c>
      <c r="W139" s="13">
        <f t="shared" si="5"/>
        <v>0.29425360538262318</v>
      </c>
      <c r="X139">
        <v>159.35</v>
      </c>
    </row>
    <row r="140" spans="1:24" ht="16" x14ac:dyDescent="0.35">
      <c r="A140" s="11" t="s">
        <v>24</v>
      </c>
      <c r="B140" s="4" t="s">
        <v>31</v>
      </c>
      <c r="C140">
        <v>2024</v>
      </c>
      <c r="D140" t="s">
        <v>10</v>
      </c>
      <c r="E140" t="s">
        <v>11</v>
      </c>
      <c r="F140" t="s">
        <v>11</v>
      </c>
      <c r="G140" t="s">
        <v>16</v>
      </c>
      <c r="H140" t="s">
        <v>16</v>
      </c>
      <c r="I140" t="s">
        <v>11</v>
      </c>
      <c r="L140" s="4" t="s">
        <v>19</v>
      </c>
      <c r="M140" s="4" t="s">
        <v>20</v>
      </c>
      <c r="P140" s="5">
        <v>146.19999999999999</v>
      </c>
      <c r="Q140">
        <v>10</v>
      </c>
      <c r="R140">
        <v>0.15873015873015869</v>
      </c>
      <c r="S140">
        <v>0</v>
      </c>
      <c r="T140" s="8">
        <v>0</v>
      </c>
      <c r="U140" s="7">
        <f>S140/VLOOKUP(M140,Constants!$A$2:$B$5,2,FALSE)</f>
        <v>0</v>
      </c>
      <c r="V140" s="7">
        <f t="shared" si="4"/>
        <v>0</v>
      </c>
      <c r="W140" s="13">
        <f t="shared" si="5"/>
        <v>0</v>
      </c>
      <c r="X140">
        <v>126.85</v>
      </c>
    </row>
    <row r="141" spans="1:24" ht="16" x14ac:dyDescent="0.35">
      <c r="A141" s="11" t="s">
        <v>26</v>
      </c>
      <c r="B141" s="4" t="s">
        <v>31</v>
      </c>
      <c r="C141">
        <v>2024</v>
      </c>
      <c r="D141" t="s">
        <v>10</v>
      </c>
      <c r="E141" t="s">
        <v>11</v>
      </c>
      <c r="F141" t="s">
        <v>11</v>
      </c>
      <c r="G141" t="s">
        <v>16</v>
      </c>
      <c r="H141" t="s">
        <v>16</v>
      </c>
      <c r="I141" t="s">
        <v>11</v>
      </c>
      <c r="L141" s="4" t="s">
        <v>19</v>
      </c>
      <c r="M141" s="4" t="s">
        <v>20</v>
      </c>
      <c r="P141" s="5">
        <v>10</v>
      </c>
      <c r="Q141">
        <v>10</v>
      </c>
      <c r="R141">
        <v>0.31746031746031739</v>
      </c>
      <c r="S141">
        <v>0</v>
      </c>
      <c r="T141" s="8">
        <v>0</v>
      </c>
      <c r="U141" s="7">
        <f>S141/VLOOKUP(M141,Constants!$A$2:$B$5,2,FALSE)</f>
        <v>0</v>
      </c>
      <c r="V141" s="7">
        <f t="shared" si="4"/>
        <v>0</v>
      </c>
      <c r="W141" s="13">
        <f t="shared" si="5"/>
        <v>0</v>
      </c>
      <c r="X141">
        <v>123.2</v>
      </c>
    </row>
    <row r="142" spans="1:24" ht="16" x14ac:dyDescent="0.35">
      <c r="A142" s="11" t="s">
        <v>25</v>
      </c>
      <c r="B142" s="4" t="s">
        <v>31</v>
      </c>
      <c r="C142">
        <v>2024</v>
      </c>
      <c r="D142" t="s">
        <v>10</v>
      </c>
      <c r="E142" t="s">
        <v>11</v>
      </c>
      <c r="F142" t="s">
        <v>11</v>
      </c>
      <c r="G142" t="s">
        <v>16</v>
      </c>
      <c r="H142" t="s">
        <v>16</v>
      </c>
      <c r="I142" t="s">
        <v>11</v>
      </c>
      <c r="L142" s="4" t="s">
        <v>19</v>
      </c>
      <c r="M142" s="4" t="s">
        <v>20</v>
      </c>
      <c r="P142" s="5">
        <v>79.2</v>
      </c>
      <c r="Q142">
        <v>10</v>
      </c>
      <c r="R142">
        <v>7.5585789871504147E-2</v>
      </c>
      <c r="S142">
        <v>0</v>
      </c>
      <c r="T142" s="8">
        <v>0</v>
      </c>
      <c r="U142" s="7">
        <f>S142/VLOOKUP(M142,Constants!$A$2:$B$5,2,FALSE)</f>
        <v>0</v>
      </c>
      <c r="V142" s="7">
        <f t="shared" si="4"/>
        <v>0</v>
      </c>
      <c r="W142" s="13">
        <f t="shared" si="5"/>
        <v>0</v>
      </c>
      <c r="X142">
        <v>154.80000000000001</v>
      </c>
    </row>
    <row r="143" spans="1:24" ht="16" x14ac:dyDescent="0.35">
      <c r="A143" s="11" t="s">
        <v>25</v>
      </c>
      <c r="B143" s="4" t="s">
        <v>30</v>
      </c>
      <c r="C143">
        <v>2024</v>
      </c>
      <c r="D143" t="s">
        <v>10</v>
      </c>
      <c r="E143" t="s">
        <v>11</v>
      </c>
      <c r="F143" t="s">
        <v>11</v>
      </c>
      <c r="G143" t="s">
        <v>16</v>
      </c>
      <c r="H143" t="s">
        <v>16</v>
      </c>
      <c r="I143" t="s">
        <v>11</v>
      </c>
      <c r="L143" s="4" t="s">
        <v>18</v>
      </c>
      <c r="M143" s="4" t="s">
        <v>19</v>
      </c>
      <c r="P143" s="5">
        <v>75.2</v>
      </c>
      <c r="Q143">
        <v>79.2</v>
      </c>
      <c r="R143">
        <v>4.6444444444444439</v>
      </c>
      <c r="S143">
        <v>10.3</v>
      </c>
      <c r="T143" s="8">
        <v>0</v>
      </c>
      <c r="U143" s="7">
        <f>S143/VLOOKUP(M143,Constants!$A$2:$B$5,2,FALSE)</f>
        <v>1.8360071301247771</v>
      </c>
      <c r="V143" s="7">
        <f t="shared" si="4"/>
        <v>85.272331154684096</v>
      </c>
      <c r="W143" s="13">
        <f t="shared" si="5"/>
        <v>1.0766708479126779</v>
      </c>
      <c r="X143">
        <v>95.5</v>
      </c>
    </row>
    <row r="144" spans="1:24" ht="16" x14ac:dyDescent="0.35">
      <c r="A144" s="11" t="s">
        <v>26</v>
      </c>
      <c r="B144" s="4" t="s">
        <v>30</v>
      </c>
      <c r="C144">
        <v>2024</v>
      </c>
      <c r="D144" t="s">
        <v>10</v>
      </c>
      <c r="E144" t="s">
        <v>11</v>
      </c>
      <c r="F144" t="s">
        <v>11</v>
      </c>
      <c r="G144" t="s">
        <v>16</v>
      </c>
      <c r="H144" t="s">
        <v>16</v>
      </c>
      <c r="I144" t="s">
        <v>11</v>
      </c>
      <c r="L144" s="4" t="s">
        <v>18</v>
      </c>
      <c r="M144" s="4" t="s">
        <v>19</v>
      </c>
      <c r="P144" s="5">
        <v>10</v>
      </c>
      <c r="Q144">
        <v>10</v>
      </c>
      <c r="R144">
        <v>4.3481481481481481</v>
      </c>
      <c r="S144">
        <v>7.7</v>
      </c>
      <c r="T144" s="8">
        <v>0</v>
      </c>
      <c r="U144" s="7">
        <f>S144/VLOOKUP(M144,Constants!$A$2:$B$5,2,FALSE)</f>
        <v>1.3725490196078431</v>
      </c>
      <c r="V144" s="7">
        <f t="shared" si="4"/>
        <v>59.680464778503996</v>
      </c>
      <c r="W144" s="13">
        <f t="shared" si="5"/>
        <v>5.9680464778503994</v>
      </c>
      <c r="X144">
        <v>52.75</v>
      </c>
    </row>
    <row r="145" spans="1:24" ht="16" x14ac:dyDescent="0.35">
      <c r="A145" s="11" t="s">
        <v>24</v>
      </c>
      <c r="B145" s="4" t="s">
        <v>30</v>
      </c>
      <c r="C145">
        <v>2024</v>
      </c>
      <c r="D145" t="s">
        <v>10</v>
      </c>
      <c r="E145" t="s">
        <v>11</v>
      </c>
      <c r="F145" t="s">
        <v>11</v>
      </c>
      <c r="G145" t="s">
        <v>16</v>
      </c>
      <c r="H145" t="s">
        <v>16</v>
      </c>
      <c r="I145" t="s">
        <v>11</v>
      </c>
      <c r="L145" s="4" t="s">
        <v>18</v>
      </c>
      <c r="M145" s="4" t="s">
        <v>19</v>
      </c>
      <c r="P145" s="5">
        <v>175.2</v>
      </c>
      <c r="Q145">
        <v>146.19999999999999</v>
      </c>
      <c r="R145">
        <v>5.0222222222222221</v>
      </c>
      <c r="S145">
        <v>11.4</v>
      </c>
      <c r="T145" s="8">
        <v>0</v>
      </c>
      <c r="U145" s="7">
        <f>S145/VLOOKUP(M145,Constants!$A$2:$B$5,2,FALSE)</f>
        <v>2.0320855614973263</v>
      </c>
      <c r="V145" s="7">
        <f t="shared" si="4"/>
        <v>102.05585264408793</v>
      </c>
      <c r="W145" s="13">
        <f t="shared" si="5"/>
        <v>0.69805644763398045</v>
      </c>
      <c r="X145">
        <v>90.65</v>
      </c>
    </row>
    <row r="146" spans="1:24" ht="16" x14ac:dyDescent="0.35">
      <c r="A146" s="11" t="s">
        <v>26</v>
      </c>
      <c r="B146" s="4" t="s">
        <v>30</v>
      </c>
      <c r="C146">
        <v>2024</v>
      </c>
      <c r="D146" t="s">
        <v>10</v>
      </c>
      <c r="E146" t="s">
        <v>11</v>
      </c>
      <c r="F146" t="s">
        <v>11</v>
      </c>
      <c r="G146" t="s">
        <v>16</v>
      </c>
      <c r="H146" t="s">
        <v>16</v>
      </c>
      <c r="I146" t="s">
        <v>11</v>
      </c>
      <c r="L146" s="4" t="s">
        <v>20</v>
      </c>
      <c r="M146" s="4" t="s">
        <v>17</v>
      </c>
      <c r="P146" s="5">
        <v>10</v>
      </c>
      <c r="Q146">
        <v>10</v>
      </c>
      <c r="R146">
        <v>3.1185185185185182</v>
      </c>
      <c r="S146">
        <v>8.4</v>
      </c>
      <c r="T146" s="8">
        <v>0</v>
      </c>
      <c r="U146" s="7">
        <f>S146/VLOOKUP(M146,Constants!$A$2:$B$5,2,FALSE)</f>
        <v>1.4482758620689655</v>
      </c>
      <c r="V146" s="7">
        <f t="shared" si="4"/>
        <v>45.164750957854402</v>
      </c>
      <c r="W146" s="13">
        <f t="shared" si="5"/>
        <v>4.5164750957854398</v>
      </c>
      <c r="X146">
        <v>56.65</v>
      </c>
    </row>
    <row r="147" spans="1:24" ht="16" x14ac:dyDescent="0.35">
      <c r="A147" s="11" t="s">
        <v>24</v>
      </c>
      <c r="B147" s="4" t="s">
        <v>30</v>
      </c>
      <c r="C147">
        <v>2024</v>
      </c>
      <c r="D147" t="s">
        <v>10</v>
      </c>
      <c r="E147" t="s">
        <v>11</v>
      </c>
      <c r="F147" t="s">
        <v>11</v>
      </c>
      <c r="G147" t="s">
        <v>16</v>
      </c>
      <c r="H147" t="s">
        <v>16</v>
      </c>
      <c r="I147" t="s">
        <v>11</v>
      </c>
      <c r="L147" s="4" t="s">
        <v>20</v>
      </c>
      <c r="M147" s="4" t="s">
        <v>17</v>
      </c>
      <c r="P147" s="5">
        <v>10</v>
      </c>
      <c r="Q147">
        <v>146.19999999999999</v>
      </c>
      <c r="R147">
        <v>3.8148148148148153</v>
      </c>
      <c r="S147">
        <v>10</v>
      </c>
      <c r="T147" s="8">
        <v>0</v>
      </c>
      <c r="U147" s="7">
        <f>S147/VLOOKUP(M147,Constants!$A$2:$B$5,2,FALSE)</f>
        <v>1.7241379310344829</v>
      </c>
      <c r="V147" s="7">
        <f t="shared" si="4"/>
        <v>65.77266922094509</v>
      </c>
      <c r="W147" s="13">
        <f t="shared" si="5"/>
        <v>0.44988145841959709</v>
      </c>
      <c r="X147">
        <v>66.5</v>
      </c>
    </row>
    <row r="148" spans="1:24" ht="16" x14ac:dyDescent="0.35">
      <c r="A148" s="11" t="s">
        <v>25</v>
      </c>
      <c r="B148" s="4" t="s">
        <v>30</v>
      </c>
      <c r="C148">
        <v>2024</v>
      </c>
      <c r="D148" t="s">
        <v>10</v>
      </c>
      <c r="E148" t="s">
        <v>11</v>
      </c>
      <c r="F148" t="s">
        <v>11</v>
      </c>
      <c r="G148" t="s">
        <v>16</v>
      </c>
      <c r="H148" t="s">
        <v>16</v>
      </c>
      <c r="I148" t="s">
        <v>11</v>
      </c>
      <c r="L148" s="4" t="s">
        <v>20</v>
      </c>
      <c r="M148" s="4" t="s">
        <v>17</v>
      </c>
      <c r="P148" s="5">
        <v>10</v>
      </c>
      <c r="Q148">
        <v>79.2</v>
      </c>
      <c r="R148">
        <v>2.9555555555555557</v>
      </c>
      <c r="S148">
        <v>9.3000000000000007</v>
      </c>
      <c r="T148" s="8">
        <v>0</v>
      </c>
      <c r="U148" s="7">
        <f>S148/VLOOKUP(M148,Constants!$A$2:$B$5,2,FALSE)</f>
        <v>1.6034482758620692</v>
      </c>
      <c r="V148" s="7">
        <f t="shared" si="4"/>
        <v>47.390804597701162</v>
      </c>
      <c r="W148" s="13">
        <f t="shared" si="5"/>
        <v>0.59836874492046921</v>
      </c>
      <c r="X148">
        <v>66.8</v>
      </c>
    </row>
    <row r="149" spans="1:24" ht="16" x14ac:dyDescent="0.35">
      <c r="A149" s="11" t="s">
        <v>25</v>
      </c>
      <c r="B149" s="4" t="s">
        <v>30</v>
      </c>
      <c r="C149">
        <v>2024</v>
      </c>
      <c r="D149" t="s">
        <v>10</v>
      </c>
      <c r="E149" t="s">
        <v>11</v>
      </c>
      <c r="F149" t="s">
        <v>11</v>
      </c>
      <c r="G149" t="s">
        <v>16</v>
      </c>
      <c r="H149" t="s">
        <v>16</v>
      </c>
      <c r="I149" t="s">
        <v>11</v>
      </c>
      <c r="L149" s="4" t="s">
        <v>17</v>
      </c>
      <c r="M149" s="4" t="s">
        <v>18</v>
      </c>
      <c r="P149" s="5">
        <v>79.2</v>
      </c>
      <c r="Q149">
        <v>75.2</v>
      </c>
      <c r="R149">
        <v>1.4361300075585786</v>
      </c>
      <c r="S149">
        <v>19.100000000000001</v>
      </c>
      <c r="T149" s="8">
        <v>0</v>
      </c>
      <c r="U149" s="7">
        <f>S149/VLOOKUP(M149,Constants!$A$2:$B$5,2,FALSE)</f>
        <v>3.056</v>
      </c>
      <c r="V149" s="7">
        <f t="shared" si="4"/>
        <v>43.888133030990161</v>
      </c>
      <c r="W149" s="13">
        <f t="shared" si="5"/>
        <v>0.58361879030572017</v>
      </c>
      <c r="X149" t="s">
        <v>37</v>
      </c>
    </row>
    <row r="150" spans="1:24" ht="16" x14ac:dyDescent="0.35">
      <c r="A150" s="11" t="s">
        <v>24</v>
      </c>
      <c r="B150" s="4" t="s">
        <v>30</v>
      </c>
      <c r="C150">
        <v>2024</v>
      </c>
      <c r="D150" t="s">
        <v>10</v>
      </c>
      <c r="E150" t="s">
        <v>11</v>
      </c>
      <c r="F150" t="s">
        <v>11</v>
      </c>
      <c r="G150" t="s">
        <v>16</v>
      </c>
      <c r="H150" t="s">
        <v>16</v>
      </c>
      <c r="I150" t="s">
        <v>11</v>
      </c>
      <c r="L150" s="4" t="s">
        <v>17</v>
      </c>
      <c r="M150" s="4" t="s">
        <v>18</v>
      </c>
      <c r="P150" s="5">
        <v>146.19999999999999</v>
      </c>
      <c r="Q150">
        <v>175.2</v>
      </c>
      <c r="R150">
        <v>1.0808767951625091</v>
      </c>
      <c r="S150">
        <v>20.399999999999999</v>
      </c>
      <c r="T150" s="8">
        <v>0</v>
      </c>
      <c r="U150" s="7">
        <f>S150/VLOOKUP(M150,Constants!$A$2:$B$5,2,FALSE)</f>
        <v>3.2639999999999998</v>
      </c>
      <c r="V150" s="7">
        <f t="shared" si="4"/>
        <v>35.279818594104292</v>
      </c>
      <c r="W150" s="13">
        <f t="shared" si="5"/>
        <v>0.20136882759191949</v>
      </c>
      <c r="X150" t="s">
        <v>37</v>
      </c>
    </row>
    <row r="151" spans="1:24" ht="16" x14ac:dyDescent="0.35">
      <c r="A151" s="11" t="s">
        <v>26</v>
      </c>
      <c r="B151" s="4" t="s">
        <v>30</v>
      </c>
      <c r="C151">
        <v>2024</v>
      </c>
      <c r="D151" t="s">
        <v>10</v>
      </c>
      <c r="E151" t="s">
        <v>11</v>
      </c>
      <c r="F151" t="s">
        <v>11</v>
      </c>
      <c r="G151" t="s">
        <v>16</v>
      </c>
      <c r="H151" t="s">
        <v>16</v>
      </c>
      <c r="I151" t="s">
        <v>11</v>
      </c>
      <c r="L151" s="4" t="s">
        <v>17</v>
      </c>
      <c r="M151" s="4" t="s">
        <v>18</v>
      </c>
      <c r="P151" s="5">
        <v>10</v>
      </c>
      <c r="Q151">
        <v>10</v>
      </c>
      <c r="R151">
        <v>0.62736205593348449</v>
      </c>
      <c r="S151">
        <v>18.399999999999999</v>
      </c>
      <c r="T151" s="8">
        <v>0</v>
      </c>
      <c r="U151" s="7">
        <f>S151/VLOOKUP(M151,Constants!$A$2:$B$5,2,FALSE)</f>
        <v>2.944</v>
      </c>
      <c r="V151" s="7">
        <f t="shared" si="4"/>
        <v>18.469538926681786</v>
      </c>
      <c r="W151" s="13">
        <f t="shared" si="5"/>
        <v>1.8469538926681786</v>
      </c>
      <c r="X151" t="s">
        <v>37</v>
      </c>
    </row>
    <row r="152" spans="1:24" ht="16" x14ac:dyDescent="0.35">
      <c r="A152" s="11" t="s">
        <v>26</v>
      </c>
      <c r="B152" s="4" t="s">
        <v>31</v>
      </c>
      <c r="C152">
        <v>2024</v>
      </c>
      <c r="D152" t="s">
        <v>10</v>
      </c>
      <c r="E152" t="s">
        <v>11</v>
      </c>
      <c r="F152" t="s">
        <v>11</v>
      </c>
      <c r="G152" t="s">
        <v>16</v>
      </c>
      <c r="H152" t="s">
        <v>16</v>
      </c>
      <c r="I152" t="s">
        <v>11</v>
      </c>
      <c r="L152" s="4" t="s">
        <v>19</v>
      </c>
      <c r="M152" s="4" t="s">
        <v>20</v>
      </c>
      <c r="P152" s="5">
        <v>10</v>
      </c>
      <c r="Q152">
        <v>10</v>
      </c>
      <c r="R152">
        <v>0.71169208424110386</v>
      </c>
      <c r="S152">
        <v>0</v>
      </c>
      <c r="T152" s="8">
        <v>0</v>
      </c>
      <c r="U152" s="7">
        <f>S152/VLOOKUP(M152,Constants!$A$2:$B$5,2,FALSE)</f>
        <v>0</v>
      </c>
      <c r="V152" s="7">
        <f t="shared" si="4"/>
        <v>0</v>
      </c>
      <c r="W152" s="13">
        <f t="shared" si="5"/>
        <v>0</v>
      </c>
      <c r="X152">
        <v>72.449999999999989</v>
      </c>
    </row>
    <row r="153" spans="1:24" ht="16" x14ac:dyDescent="0.35">
      <c r="A153" s="11" t="s">
        <v>25</v>
      </c>
      <c r="B153" s="4" t="s">
        <v>31</v>
      </c>
      <c r="C153">
        <v>2024</v>
      </c>
      <c r="D153" t="s">
        <v>10</v>
      </c>
      <c r="E153" t="s">
        <v>11</v>
      </c>
      <c r="F153" t="s">
        <v>11</v>
      </c>
      <c r="G153" t="s">
        <v>16</v>
      </c>
      <c r="H153" t="s">
        <v>16</v>
      </c>
      <c r="I153" t="s">
        <v>11</v>
      </c>
      <c r="L153" s="4" t="s">
        <v>19</v>
      </c>
      <c r="M153" s="4" t="s">
        <v>20</v>
      </c>
      <c r="P153" s="5">
        <v>79.2</v>
      </c>
      <c r="Q153">
        <v>10</v>
      </c>
      <c r="R153">
        <v>0.53013798111837329</v>
      </c>
      <c r="S153">
        <v>0</v>
      </c>
      <c r="T153" s="8">
        <v>0</v>
      </c>
      <c r="U153" s="7">
        <f>S153/VLOOKUP(M153,Constants!$A$2:$B$5,2,FALSE)</f>
        <v>0</v>
      </c>
      <c r="V153" s="7">
        <f t="shared" si="4"/>
        <v>0</v>
      </c>
      <c r="W153" s="13">
        <f t="shared" si="5"/>
        <v>0</v>
      </c>
      <c r="X153">
        <v>116.7</v>
      </c>
    </row>
    <row r="154" spans="1:24" ht="16" x14ac:dyDescent="0.35">
      <c r="A154" s="11" t="s">
        <v>24</v>
      </c>
      <c r="B154" s="4" t="s">
        <v>31</v>
      </c>
      <c r="C154">
        <v>2024</v>
      </c>
      <c r="D154" t="s">
        <v>10</v>
      </c>
      <c r="E154" t="s">
        <v>11</v>
      </c>
      <c r="F154" t="s">
        <v>11</v>
      </c>
      <c r="G154" t="s">
        <v>16</v>
      </c>
      <c r="H154" t="s">
        <v>16</v>
      </c>
      <c r="I154" t="s">
        <v>11</v>
      </c>
      <c r="L154" s="4" t="s">
        <v>19</v>
      </c>
      <c r="M154" s="4" t="s">
        <v>20</v>
      </c>
      <c r="P154" s="5">
        <v>146.19999999999999</v>
      </c>
      <c r="Q154">
        <v>10</v>
      </c>
      <c r="R154">
        <v>0.36310820624546114</v>
      </c>
      <c r="S154">
        <v>0</v>
      </c>
      <c r="T154" s="8">
        <v>0</v>
      </c>
      <c r="U154" s="7">
        <f>S154/VLOOKUP(M154,Constants!$A$2:$B$5,2,FALSE)</f>
        <v>0</v>
      </c>
      <c r="V154" s="7">
        <f t="shared" si="4"/>
        <v>0</v>
      </c>
      <c r="W154" s="13">
        <f t="shared" si="5"/>
        <v>0</v>
      </c>
      <c r="X154">
        <v>77.75</v>
      </c>
    </row>
    <row r="155" spans="1:24" ht="16" x14ac:dyDescent="0.35">
      <c r="A155" s="11" t="s">
        <v>25</v>
      </c>
      <c r="B155" s="4" t="s">
        <v>30</v>
      </c>
      <c r="C155">
        <v>2024</v>
      </c>
      <c r="D155" t="s">
        <v>10</v>
      </c>
      <c r="E155" t="s">
        <v>11</v>
      </c>
      <c r="F155" t="s">
        <v>11</v>
      </c>
      <c r="G155" t="s">
        <v>16</v>
      </c>
      <c r="H155" t="s">
        <v>16</v>
      </c>
      <c r="I155" t="s">
        <v>11</v>
      </c>
      <c r="L155" s="4" t="s">
        <v>17</v>
      </c>
      <c r="M155" s="4" t="s">
        <v>18</v>
      </c>
      <c r="P155" s="5">
        <v>79.2</v>
      </c>
      <c r="Q155">
        <v>75.2</v>
      </c>
      <c r="R155">
        <v>0.48888888888888893</v>
      </c>
      <c r="S155">
        <v>19.3</v>
      </c>
      <c r="T155" s="8">
        <v>0</v>
      </c>
      <c r="U155" s="7">
        <f>S155/VLOOKUP(M155,Constants!$A$2:$B$5,2,FALSE)</f>
        <v>3.0880000000000001</v>
      </c>
      <c r="V155" s="7">
        <f t="shared" si="4"/>
        <v>15.096888888888891</v>
      </c>
      <c r="W155" s="13">
        <f t="shared" si="5"/>
        <v>0.20075650118203311</v>
      </c>
      <c r="X155">
        <v>117.7</v>
      </c>
    </row>
    <row r="156" spans="1:24" ht="16" x14ac:dyDescent="0.35">
      <c r="A156" s="11" t="s">
        <v>24</v>
      </c>
      <c r="B156" s="4" t="s">
        <v>30</v>
      </c>
      <c r="C156">
        <v>2024</v>
      </c>
      <c r="D156" t="s">
        <v>10</v>
      </c>
      <c r="E156" t="s">
        <v>11</v>
      </c>
      <c r="F156" t="s">
        <v>11</v>
      </c>
      <c r="G156" t="s">
        <v>16</v>
      </c>
      <c r="H156" t="s">
        <v>16</v>
      </c>
      <c r="I156" t="s">
        <v>11</v>
      </c>
      <c r="L156" s="4" t="s">
        <v>17</v>
      </c>
      <c r="M156" s="4" t="s">
        <v>18</v>
      </c>
      <c r="P156" s="5">
        <v>146.19999999999999</v>
      </c>
      <c r="Q156">
        <v>175.2</v>
      </c>
      <c r="R156">
        <v>0.90370370370370368</v>
      </c>
      <c r="S156">
        <v>19.100000000000001</v>
      </c>
      <c r="T156" s="8">
        <v>0</v>
      </c>
      <c r="U156" s="7">
        <f>S156/VLOOKUP(M156,Constants!$A$2:$B$5,2,FALSE)</f>
        <v>3.056</v>
      </c>
      <c r="V156" s="7">
        <f t="shared" si="4"/>
        <v>27.617185185185186</v>
      </c>
      <c r="W156" s="13">
        <f t="shared" si="5"/>
        <v>0.15763233553187891</v>
      </c>
      <c r="X156">
        <v>146.85</v>
      </c>
    </row>
    <row r="157" spans="1:24" ht="16" x14ac:dyDescent="0.35">
      <c r="A157" s="11" t="s">
        <v>26</v>
      </c>
      <c r="B157" s="4" t="s">
        <v>30</v>
      </c>
      <c r="C157">
        <v>2024</v>
      </c>
      <c r="D157" t="s">
        <v>10</v>
      </c>
      <c r="E157" t="s">
        <v>11</v>
      </c>
      <c r="F157" t="s">
        <v>11</v>
      </c>
      <c r="G157" t="s">
        <v>16</v>
      </c>
      <c r="H157" t="s">
        <v>16</v>
      </c>
      <c r="I157" t="s">
        <v>11</v>
      </c>
      <c r="L157" s="4" t="s">
        <v>17</v>
      </c>
      <c r="M157" s="4" t="s">
        <v>18</v>
      </c>
      <c r="P157" s="5">
        <v>10</v>
      </c>
      <c r="Q157">
        <v>10</v>
      </c>
      <c r="R157">
        <v>1.2296296296296296</v>
      </c>
      <c r="S157">
        <v>18.100000000000001</v>
      </c>
      <c r="T157" s="8">
        <v>0</v>
      </c>
      <c r="U157" s="7">
        <f>S157/VLOOKUP(M157,Constants!$A$2:$B$5,2,FALSE)</f>
        <v>2.8960000000000004</v>
      </c>
      <c r="V157" s="7">
        <f t="shared" si="4"/>
        <v>35.610074074074078</v>
      </c>
      <c r="W157" s="13">
        <f t="shared" si="5"/>
        <v>3.5610074074074078</v>
      </c>
      <c r="X157">
        <v>84.3</v>
      </c>
    </row>
    <row r="158" spans="1:24" ht="16" x14ac:dyDescent="0.35">
      <c r="A158" s="11" t="s">
        <v>24</v>
      </c>
      <c r="B158" s="4" t="s">
        <v>29</v>
      </c>
      <c r="C158">
        <v>2024</v>
      </c>
      <c r="D158" t="s">
        <v>10</v>
      </c>
      <c r="E158" t="s">
        <v>11</v>
      </c>
      <c r="F158" t="s">
        <v>11</v>
      </c>
      <c r="G158" t="s">
        <v>16</v>
      </c>
      <c r="H158" t="s">
        <v>16</v>
      </c>
      <c r="I158" t="s">
        <v>11</v>
      </c>
      <c r="L158" s="4" t="s">
        <v>17</v>
      </c>
      <c r="M158" s="4" t="s">
        <v>18</v>
      </c>
      <c r="P158" s="5">
        <v>146.19999999999999</v>
      </c>
      <c r="Q158">
        <v>175.2</v>
      </c>
      <c r="R158">
        <v>1.7185185185185183</v>
      </c>
      <c r="S158">
        <v>17.3</v>
      </c>
      <c r="T158" s="8">
        <v>0</v>
      </c>
      <c r="U158" s="7">
        <f>S158/VLOOKUP(M158,Constants!$A$2:$B$5,2,FALSE)</f>
        <v>2.7680000000000002</v>
      </c>
      <c r="V158" s="7">
        <f t="shared" si="4"/>
        <v>47.568592592592594</v>
      </c>
      <c r="W158" s="13">
        <f t="shared" si="5"/>
        <v>0.27151023169288013</v>
      </c>
      <c r="X158">
        <v>80.650000000000006</v>
      </c>
    </row>
    <row r="159" spans="1:24" ht="16" x14ac:dyDescent="0.35">
      <c r="A159" s="11" t="s">
        <v>26</v>
      </c>
      <c r="B159" s="4" t="s">
        <v>29</v>
      </c>
      <c r="C159">
        <v>2024</v>
      </c>
      <c r="D159" t="s">
        <v>10</v>
      </c>
      <c r="E159" t="s">
        <v>11</v>
      </c>
      <c r="F159" t="s">
        <v>11</v>
      </c>
      <c r="G159" t="s">
        <v>16</v>
      </c>
      <c r="H159" t="s">
        <v>16</v>
      </c>
      <c r="I159" t="s">
        <v>11</v>
      </c>
      <c r="L159" s="4" t="s">
        <v>17</v>
      </c>
      <c r="M159" s="4" t="s">
        <v>18</v>
      </c>
      <c r="P159" s="5">
        <v>10</v>
      </c>
      <c r="Q159">
        <v>10</v>
      </c>
      <c r="R159">
        <v>1.4518518518518519</v>
      </c>
      <c r="S159">
        <v>20</v>
      </c>
      <c r="T159" s="8">
        <v>0</v>
      </c>
      <c r="U159" s="7">
        <f>S159/VLOOKUP(M159,Constants!$A$2:$B$5,2,FALSE)</f>
        <v>3.2</v>
      </c>
      <c r="V159" s="7">
        <f>U159/100*R159*1000</f>
        <v>46.459259259259262</v>
      </c>
      <c r="W159" s="13">
        <f>V159/Q159</f>
        <v>4.6459259259259262</v>
      </c>
      <c r="X159">
        <v>64.3</v>
      </c>
    </row>
    <row r="160" spans="1:24" ht="16" x14ac:dyDescent="0.35">
      <c r="A160" s="11" t="s">
        <v>25</v>
      </c>
      <c r="B160" s="4" t="s">
        <v>29</v>
      </c>
      <c r="C160">
        <v>2024</v>
      </c>
      <c r="D160" t="s">
        <v>10</v>
      </c>
      <c r="E160" t="s">
        <v>11</v>
      </c>
      <c r="F160" t="s">
        <v>11</v>
      </c>
      <c r="G160" t="s">
        <v>16</v>
      </c>
      <c r="H160" t="s">
        <v>16</v>
      </c>
      <c r="I160" t="s">
        <v>11</v>
      </c>
      <c r="L160" s="4" t="s">
        <v>17</v>
      </c>
      <c r="M160" s="4" t="s">
        <v>18</v>
      </c>
      <c r="P160" s="5">
        <v>79.2</v>
      </c>
      <c r="Q160">
        <v>75.2</v>
      </c>
      <c r="R160">
        <v>1.2370370370370369</v>
      </c>
      <c r="S160">
        <v>20.399999999999999</v>
      </c>
      <c r="T160" s="8">
        <v>0</v>
      </c>
      <c r="U160" s="7">
        <f>S160/VLOOKUP(M160,Constants!$A$2:$B$5,2,FALSE)</f>
        <v>3.2639999999999998</v>
      </c>
      <c r="V160" s="7">
        <f t="shared" si="4"/>
        <v>40.376888888888878</v>
      </c>
      <c r="W160" s="13">
        <f t="shared" si="5"/>
        <v>0.53692671394799041</v>
      </c>
      <c r="X160">
        <v>69.099999999999994</v>
      </c>
    </row>
    <row r="161" spans="1:24" ht="16" x14ac:dyDescent="0.35">
      <c r="A161" s="11" t="s">
        <v>26</v>
      </c>
      <c r="B161" s="4" t="s">
        <v>30</v>
      </c>
      <c r="C161">
        <v>2024</v>
      </c>
      <c r="D161" t="s">
        <v>10</v>
      </c>
      <c r="E161" t="s">
        <v>11</v>
      </c>
      <c r="F161" t="s">
        <v>11</v>
      </c>
      <c r="G161" t="s">
        <v>16</v>
      </c>
      <c r="H161" t="s">
        <v>16</v>
      </c>
      <c r="I161" t="s">
        <v>11</v>
      </c>
      <c r="L161" s="4" t="s">
        <v>20</v>
      </c>
      <c r="M161" s="4" t="s">
        <v>17</v>
      </c>
      <c r="P161" s="5">
        <v>10</v>
      </c>
      <c r="Q161">
        <v>10</v>
      </c>
      <c r="R161">
        <v>3.1777777777777776</v>
      </c>
      <c r="S161">
        <v>8.3000000000000007</v>
      </c>
      <c r="T161" s="8">
        <v>0</v>
      </c>
      <c r="U161" s="7">
        <f>S161/VLOOKUP(M161,Constants!$A$2:$B$5,2,FALSE)</f>
        <v>1.4310344827586208</v>
      </c>
      <c r="V161" s="7">
        <f t="shared" si="4"/>
        <v>45.475095785440608</v>
      </c>
      <c r="W161" s="13">
        <f t="shared" si="5"/>
        <v>4.5475095785440605</v>
      </c>
      <c r="X161">
        <v>45.25</v>
      </c>
    </row>
    <row r="162" spans="1:24" ht="16" x14ac:dyDescent="0.35">
      <c r="A162" s="11" t="s">
        <v>24</v>
      </c>
      <c r="B162" s="4" t="s">
        <v>30</v>
      </c>
      <c r="C162">
        <v>2024</v>
      </c>
      <c r="D162" t="s">
        <v>10</v>
      </c>
      <c r="E162" t="s">
        <v>11</v>
      </c>
      <c r="F162" t="s">
        <v>11</v>
      </c>
      <c r="G162" t="s">
        <v>16</v>
      </c>
      <c r="H162" t="s">
        <v>16</v>
      </c>
      <c r="I162" t="s">
        <v>11</v>
      </c>
      <c r="L162" s="4" t="s">
        <v>20</v>
      </c>
      <c r="M162" s="4" t="s">
        <v>17</v>
      </c>
      <c r="P162" s="5">
        <v>10</v>
      </c>
      <c r="Q162">
        <v>146.19999999999999</v>
      </c>
      <c r="R162">
        <v>4.9185185185185185</v>
      </c>
      <c r="S162">
        <v>9.6</v>
      </c>
      <c r="T162" s="8">
        <v>0</v>
      </c>
      <c r="U162" s="7">
        <f>S162/VLOOKUP(M162,Constants!$A$2:$B$5,2,FALSE)</f>
        <v>1.6551724137931034</v>
      </c>
      <c r="V162" s="7">
        <f t="shared" si="4"/>
        <v>81.40996168582376</v>
      </c>
      <c r="W162" s="13">
        <f t="shared" si="5"/>
        <v>0.5568396832135688</v>
      </c>
      <c r="X162">
        <v>96.75</v>
      </c>
    </row>
    <row r="163" spans="1:24" ht="16" x14ac:dyDescent="0.35">
      <c r="A163" s="11" t="s">
        <v>25</v>
      </c>
      <c r="B163" s="4" t="s">
        <v>30</v>
      </c>
      <c r="C163">
        <v>2024</v>
      </c>
      <c r="D163" t="s">
        <v>10</v>
      </c>
      <c r="E163" t="s">
        <v>11</v>
      </c>
      <c r="F163" t="s">
        <v>11</v>
      </c>
      <c r="G163" t="s">
        <v>16</v>
      </c>
      <c r="H163" t="s">
        <v>16</v>
      </c>
      <c r="I163" t="s">
        <v>11</v>
      </c>
      <c r="L163" s="4" t="s">
        <v>20</v>
      </c>
      <c r="M163" s="4" t="s">
        <v>17</v>
      </c>
      <c r="P163" s="5">
        <v>10</v>
      </c>
      <c r="Q163">
        <v>79.2</v>
      </c>
      <c r="R163">
        <v>4.6888888888888891</v>
      </c>
      <c r="S163">
        <v>9.3000000000000007</v>
      </c>
      <c r="T163" s="8">
        <v>0</v>
      </c>
      <c r="U163" s="7">
        <f>S163/VLOOKUP(M163,Constants!$A$2:$B$5,2,FALSE)</f>
        <v>1.6034482758620692</v>
      </c>
      <c r="V163" s="7">
        <f t="shared" si="4"/>
        <v>75.183908045977034</v>
      </c>
      <c r="W163" s="13">
        <f t="shared" si="5"/>
        <v>0.94929176825728578</v>
      </c>
      <c r="X163">
        <v>68.05</v>
      </c>
    </row>
    <row r="164" spans="1:24" ht="16" x14ac:dyDescent="0.35">
      <c r="A164" s="11" t="s">
        <v>24</v>
      </c>
      <c r="B164" s="4" t="s">
        <v>30</v>
      </c>
      <c r="C164">
        <v>2024</v>
      </c>
      <c r="D164" t="s">
        <v>10</v>
      </c>
      <c r="E164" t="s">
        <v>11</v>
      </c>
      <c r="F164" t="s">
        <v>11</v>
      </c>
      <c r="G164" t="s">
        <v>16</v>
      </c>
      <c r="H164" t="s">
        <v>16</v>
      </c>
      <c r="I164" t="s">
        <v>11</v>
      </c>
      <c r="L164" s="4" t="s">
        <v>18</v>
      </c>
      <c r="M164" s="4" t="s">
        <v>19</v>
      </c>
      <c r="P164" s="5">
        <v>175.2</v>
      </c>
      <c r="Q164">
        <v>146.19999999999999</v>
      </c>
      <c r="R164">
        <v>5.9851851851851858</v>
      </c>
      <c r="S164">
        <v>10.6</v>
      </c>
      <c r="T164" s="8">
        <v>0</v>
      </c>
      <c r="U164" s="7">
        <f>S164/VLOOKUP(M164,Constants!$A$2:$B$5,2,FALSE)</f>
        <v>1.8894830659536541</v>
      </c>
      <c r="V164" s="7">
        <f t="shared" si="4"/>
        <v>113.08906054004095</v>
      </c>
      <c r="W164" s="13">
        <f t="shared" si="5"/>
        <v>0.77352298590999291</v>
      </c>
      <c r="X164">
        <v>82.75</v>
      </c>
    </row>
    <row r="165" spans="1:24" ht="16" x14ac:dyDescent="0.35">
      <c r="A165" s="11" t="s">
        <v>25</v>
      </c>
      <c r="B165" s="4" t="s">
        <v>30</v>
      </c>
      <c r="C165">
        <v>2024</v>
      </c>
      <c r="D165" t="s">
        <v>10</v>
      </c>
      <c r="E165" t="s">
        <v>11</v>
      </c>
      <c r="F165" t="s">
        <v>11</v>
      </c>
      <c r="G165" t="s">
        <v>16</v>
      </c>
      <c r="H165" t="s">
        <v>16</v>
      </c>
      <c r="I165" t="s">
        <v>11</v>
      </c>
      <c r="L165" s="4" t="s">
        <v>18</v>
      </c>
      <c r="M165" s="4" t="s">
        <v>19</v>
      </c>
      <c r="P165" s="5">
        <v>75.2</v>
      </c>
      <c r="Q165">
        <v>79.2</v>
      </c>
      <c r="R165">
        <v>5.4518518518518526</v>
      </c>
      <c r="S165">
        <v>8.5</v>
      </c>
      <c r="T165" s="8">
        <v>0</v>
      </c>
      <c r="U165" s="7">
        <f>S165/VLOOKUP(M165,Constants!$A$2:$B$5,2,FALSE)</f>
        <v>1.5151515151515151</v>
      </c>
      <c r="V165" s="7">
        <f t="shared" si="4"/>
        <v>82.603815937149292</v>
      </c>
      <c r="W165" s="13">
        <f t="shared" si="5"/>
        <v>1.0429774739539053</v>
      </c>
      <c r="X165">
        <v>71.5</v>
      </c>
    </row>
    <row r="166" spans="1:24" ht="16" x14ac:dyDescent="0.35">
      <c r="A166" s="11" t="s">
        <v>26</v>
      </c>
      <c r="B166" s="4" t="s">
        <v>30</v>
      </c>
      <c r="C166">
        <v>2024</v>
      </c>
      <c r="D166" t="s">
        <v>10</v>
      </c>
      <c r="E166" t="s">
        <v>11</v>
      </c>
      <c r="F166" t="s">
        <v>11</v>
      </c>
      <c r="G166" t="s">
        <v>16</v>
      </c>
      <c r="H166" t="s">
        <v>16</v>
      </c>
      <c r="I166" t="s">
        <v>11</v>
      </c>
      <c r="L166" s="4" t="s">
        <v>18</v>
      </c>
      <c r="M166" s="4" t="s">
        <v>19</v>
      </c>
      <c r="P166" s="5">
        <v>10</v>
      </c>
      <c r="Q166">
        <v>10</v>
      </c>
      <c r="R166">
        <v>4.837037037037037</v>
      </c>
      <c r="S166">
        <v>7.2</v>
      </c>
      <c r="T166" s="8">
        <v>0</v>
      </c>
      <c r="U166" s="7">
        <f>S166/VLOOKUP(M166,Constants!$A$2:$B$5,2,FALSE)</f>
        <v>1.2834224598930482</v>
      </c>
      <c r="V166" s="7">
        <f t="shared" si="4"/>
        <v>62.079619726678551</v>
      </c>
      <c r="W166" s="13">
        <f t="shared" si="5"/>
        <v>6.2079619726678548</v>
      </c>
      <c r="X166">
        <v>62.1</v>
      </c>
    </row>
    <row r="167" spans="1:24" ht="16" x14ac:dyDescent="0.35">
      <c r="A167" s="11" t="s">
        <v>24</v>
      </c>
      <c r="B167" s="4" t="s">
        <v>31</v>
      </c>
      <c r="C167">
        <v>2024</v>
      </c>
      <c r="D167" t="s">
        <v>10</v>
      </c>
      <c r="E167" t="s">
        <v>11</v>
      </c>
      <c r="F167" t="s">
        <v>11</v>
      </c>
      <c r="G167" t="s">
        <v>16</v>
      </c>
      <c r="H167" t="s">
        <v>16</v>
      </c>
      <c r="I167" t="s">
        <v>11</v>
      </c>
      <c r="L167" s="4" t="s">
        <v>18</v>
      </c>
      <c r="M167" s="4" t="s">
        <v>17</v>
      </c>
      <c r="P167" s="5">
        <v>175.2</v>
      </c>
      <c r="Q167">
        <v>146.19999999999999</v>
      </c>
      <c r="R167">
        <v>3.7629629629629631</v>
      </c>
      <c r="S167">
        <v>9.9</v>
      </c>
      <c r="T167" s="8">
        <v>0</v>
      </c>
      <c r="U167" s="7">
        <f>S167/VLOOKUP(M167,Constants!$A$2:$B$5,2,FALSE)</f>
        <v>1.7068965517241381</v>
      </c>
      <c r="V167" s="7">
        <f t="shared" si="4"/>
        <v>64.229885057471265</v>
      </c>
      <c r="W167" s="13">
        <f t="shared" si="5"/>
        <v>0.4393288991619102</v>
      </c>
      <c r="X167">
        <v>78.7</v>
      </c>
    </row>
    <row r="168" spans="1:24" ht="16" x14ac:dyDescent="0.35">
      <c r="A168" s="11" t="s">
        <v>26</v>
      </c>
      <c r="B168" s="4" t="s">
        <v>31</v>
      </c>
      <c r="C168">
        <v>2024</v>
      </c>
      <c r="D168" t="s">
        <v>10</v>
      </c>
      <c r="E168" t="s">
        <v>11</v>
      </c>
      <c r="F168" t="s">
        <v>11</v>
      </c>
      <c r="G168" t="s">
        <v>16</v>
      </c>
      <c r="H168" t="s">
        <v>16</v>
      </c>
      <c r="I168" t="s">
        <v>11</v>
      </c>
      <c r="L168" s="4" t="s">
        <v>18</v>
      </c>
      <c r="M168" s="4" t="s">
        <v>17</v>
      </c>
      <c r="P168" s="5">
        <v>10</v>
      </c>
      <c r="Q168">
        <v>10</v>
      </c>
      <c r="R168">
        <v>3.0370370370370372</v>
      </c>
      <c r="S168">
        <v>8.1999999999999993</v>
      </c>
      <c r="T168" s="8">
        <v>0</v>
      </c>
      <c r="U168" s="7">
        <f>S168/VLOOKUP(M168,Constants!$A$2:$B$5,2,FALSE)</f>
        <v>1.4137931034482758</v>
      </c>
      <c r="V168" s="7">
        <f t="shared" si="4"/>
        <v>42.937420178799492</v>
      </c>
      <c r="W168" s="13">
        <f t="shared" si="5"/>
        <v>4.293742017879949</v>
      </c>
      <c r="X168">
        <v>46.55</v>
      </c>
    </row>
    <row r="169" spans="1:24" ht="16" x14ac:dyDescent="0.35">
      <c r="A169" s="11" t="s">
        <v>25</v>
      </c>
      <c r="B169" s="4" t="s">
        <v>31</v>
      </c>
      <c r="C169">
        <v>2024</v>
      </c>
      <c r="D169" t="s">
        <v>10</v>
      </c>
      <c r="E169" t="s">
        <v>11</v>
      </c>
      <c r="F169" t="s">
        <v>11</v>
      </c>
      <c r="G169" t="s">
        <v>16</v>
      </c>
      <c r="H169" t="s">
        <v>16</v>
      </c>
      <c r="I169" t="s">
        <v>11</v>
      </c>
      <c r="L169" s="4" t="s">
        <v>18</v>
      </c>
      <c r="M169" s="4" t="s">
        <v>17</v>
      </c>
      <c r="P169" s="5">
        <v>75.2</v>
      </c>
      <c r="Q169">
        <v>79.2</v>
      </c>
      <c r="R169">
        <v>3.8148148148148153</v>
      </c>
      <c r="S169">
        <v>9</v>
      </c>
      <c r="T169" s="8">
        <v>0</v>
      </c>
      <c r="U169" s="7">
        <f>S169/VLOOKUP(M169,Constants!$A$2:$B$5,2,FALSE)</f>
        <v>1.5517241379310345</v>
      </c>
      <c r="V169" s="7">
        <f t="shared" si="4"/>
        <v>59.195402298850581</v>
      </c>
      <c r="W169" s="13">
        <f t="shared" si="5"/>
        <v>0.74741669569255786</v>
      </c>
      <c r="X169">
        <v>36.4</v>
      </c>
    </row>
    <row r="170" spans="1:24" ht="16" x14ac:dyDescent="0.35">
      <c r="A170" s="11" t="s">
        <v>26</v>
      </c>
      <c r="B170" s="4" t="s">
        <v>30</v>
      </c>
      <c r="C170">
        <v>2024</v>
      </c>
      <c r="D170" t="s">
        <v>10</v>
      </c>
      <c r="E170" t="s">
        <v>11</v>
      </c>
      <c r="F170" t="s">
        <v>11</v>
      </c>
      <c r="G170" t="s">
        <v>16</v>
      </c>
      <c r="H170" t="s">
        <v>16</v>
      </c>
      <c r="I170" t="s">
        <v>11</v>
      </c>
      <c r="L170" s="4" t="s">
        <v>19</v>
      </c>
      <c r="M170" s="4" t="s">
        <v>20</v>
      </c>
      <c r="P170" s="5">
        <v>10</v>
      </c>
      <c r="Q170">
        <v>10</v>
      </c>
      <c r="R170">
        <v>0.40740740740740744</v>
      </c>
      <c r="S170">
        <v>0</v>
      </c>
      <c r="T170" s="8">
        <v>0</v>
      </c>
      <c r="U170" s="7">
        <f>S170/VLOOKUP(M170,Constants!$A$2:$B$5,2,FALSE)</f>
        <v>0</v>
      </c>
      <c r="V170" s="7">
        <f>U170/100*R170*1000</f>
        <v>0</v>
      </c>
      <c r="W170" s="13">
        <f>V170/Q170</f>
        <v>0</v>
      </c>
      <c r="X170">
        <v>145.5</v>
      </c>
    </row>
    <row r="171" spans="1:24" ht="16" x14ac:dyDescent="0.35">
      <c r="A171" s="11" t="s">
        <v>25</v>
      </c>
      <c r="B171" s="4" t="s">
        <v>30</v>
      </c>
      <c r="C171">
        <v>2024</v>
      </c>
      <c r="D171" t="s">
        <v>10</v>
      </c>
      <c r="E171" t="s">
        <v>11</v>
      </c>
      <c r="F171" t="s">
        <v>11</v>
      </c>
      <c r="G171" t="s">
        <v>16</v>
      </c>
      <c r="H171" t="s">
        <v>16</v>
      </c>
      <c r="I171" t="s">
        <v>11</v>
      </c>
      <c r="L171" s="4" t="s">
        <v>19</v>
      </c>
      <c r="M171" s="4" t="s">
        <v>20</v>
      </c>
      <c r="P171" s="5">
        <v>79.2</v>
      </c>
      <c r="Q171">
        <v>10</v>
      </c>
      <c r="R171">
        <v>0.25925925925925924</v>
      </c>
      <c r="S171">
        <v>0</v>
      </c>
      <c r="T171" s="8">
        <v>0</v>
      </c>
      <c r="U171" s="7">
        <f>S171/VLOOKUP(M171,Constants!$A$2:$B$5,2,FALSE)</f>
        <v>0</v>
      </c>
      <c r="V171" s="7">
        <f t="shared" si="4"/>
        <v>0</v>
      </c>
      <c r="W171" s="13">
        <f t="shared" si="5"/>
        <v>0</v>
      </c>
      <c r="X171">
        <v>173.4</v>
      </c>
    </row>
    <row r="172" spans="1:24" ht="16" x14ac:dyDescent="0.35">
      <c r="A172" s="11" t="s">
        <v>24</v>
      </c>
      <c r="B172" s="4" t="s">
        <v>30</v>
      </c>
      <c r="C172">
        <v>2024</v>
      </c>
      <c r="D172" t="s">
        <v>10</v>
      </c>
      <c r="E172" t="s">
        <v>11</v>
      </c>
      <c r="F172" t="s">
        <v>11</v>
      </c>
      <c r="G172" t="s">
        <v>16</v>
      </c>
      <c r="H172" t="s">
        <v>16</v>
      </c>
      <c r="I172" t="s">
        <v>11</v>
      </c>
      <c r="L172" s="4" t="s">
        <v>19</v>
      </c>
      <c r="M172" s="4" t="s">
        <v>20</v>
      </c>
      <c r="P172" s="5">
        <v>146.19999999999999</v>
      </c>
      <c r="Q172">
        <v>10</v>
      </c>
      <c r="R172">
        <v>0.2</v>
      </c>
      <c r="S172">
        <v>0</v>
      </c>
      <c r="T172" s="8">
        <v>0</v>
      </c>
      <c r="U172" s="7">
        <f>S172/VLOOKUP(M172,Constants!$A$2:$B$5,2,FALSE)</f>
        <v>0</v>
      </c>
      <c r="V172" s="7">
        <f t="shared" si="4"/>
        <v>0</v>
      </c>
      <c r="W172" s="13">
        <f t="shared" si="5"/>
        <v>0</v>
      </c>
      <c r="X172">
        <v>75</v>
      </c>
    </row>
    <row r="173" spans="1:24" ht="16" x14ac:dyDescent="0.35">
      <c r="A173" s="11" t="s">
        <v>25</v>
      </c>
      <c r="B173" s="4" t="s">
        <v>29</v>
      </c>
      <c r="C173">
        <v>2024</v>
      </c>
      <c r="D173" t="s">
        <v>10</v>
      </c>
      <c r="E173" t="s">
        <v>11</v>
      </c>
      <c r="F173" t="s">
        <v>11</v>
      </c>
      <c r="G173" t="s">
        <v>16</v>
      </c>
      <c r="H173" t="s">
        <v>16</v>
      </c>
      <c r="I173" t="s">
        <v>11</v>
      </c>
      <c r="L173" s="4" t="s">
        <v>18</v>
      </c>
      <c r="M173" s="4" t="s">
        <v>17</v>
      </c>
      <c r="P173" s="5">
        <v>75.2</v>
      </c>
      <c r="Q173">
        <v>79.2</v>
      </c>
      <c r="R173">
        <v>3.3851851851851853</v>
      </c>
      <c r="S173">
        <v>9.4</v>
      </c>
      <c r="T173" s="8">
        <v>0</v>
      </c>
      <c r="U173" s="7">
        <f>S173/VLOOKUP(M173,Constants!$A$2:$B$5,2,FALSE)</f>
        <v>1.6206896551724139</v>
      </c>
      <c r="V173" s="7">
        <f t="shared" si="4"/>
        <v>54.863346104725423</v>
      </c>
      <c r="W173" s="13">
        <f t="shared" si="5"/>
        <v>0.69271901647380585</v>
      </c>
      <c r="X173">
        <v>46.3</v>
      </c>
    </row>
    <row r="174" spans="1:24" ht="16" x14ac:dyDescent="0.35">
      <c r="A174" s="11" t="s">
        <v>24</v>
      </c>
      <c r="B174" s="4" t="s">
        <v>29</v>
      </c>
      <c r="C174">
        <v>2024</v>
      </c>
      <c r="D174" t="s">
        <v>10</v>
      </c>
      <c r="E174" t="s">
        <v>11</v>
      </c>
      <c r="F174" t="s">
        <v>11</v>
      </c>
      <c r="G174" t="s">
        <v>16</v>
      </c>
      <c r="H174" t="s">
        <v>16</v>
      </c>
      <c r="I174" t="s">
        <v>11</v>
      </c>
      <c r="L174" s="4" t="s">
        <v>18</v>
      </c>
      <c r="M174" s="4" t="s">
        <v>17</v>
      </c>
      <c r="P174" s="5">
        <v>175.2</v>
      </c>
      <c r="Q174">
        <v>146.19999999999999</v>
      </c>
      <c r="R174">
        <v>2.4000000000000004</v>
      </c>
      <c r="S174">
        <v>9.6</v>
      </c>
      <c r="T174" s="8">
        <v>0</v>
      </c>
      <c r="U174" s="7">
        <f>S174/VLOOKUP(M174,Constants!$A$2:$B$5,2,FALSE)</f>
        <v>1.6551724137931034</v>
      </c>
      <c r="V174" s="7">
        <f t="shared" si="4"/>
        <v>39.724137931034491</v>
      </c>
      <c r="W174" s="13">
        <f t="shared" si="5"/>
        <v>0.27171092976083783</v>
      </c>
      <c r="X174">
        <v>82.449999999999989</v>
      </c>
    </row>
    <row r="175" spans="1:24" ht="16" x14ac:dyDescent="0.35">
      <c r="A175" s="11" t="s">
        <v>26</v>
      </c>
      <c r="B175" s="4" t="s">
        <v>29</v>
      </c>
      <c r="C175">
        <v>2024</v>
      </c>
      <c r="D175" t="s">
        <v>10</v>
      </c>
      <c r="E175" t="s">
        <v>11</v>
      </c>
      <c r="F175" t="s">
        <v>11</v>
      </c>
      <c r="G175" t="s">
        <v>16</v>
      </c>
      <c r="H175" t="s">
        <v>16</v>
      </c>
      <c r="I175" t="s">
        <v>11</v>
      </c>
      <c r="L175" s="4" t="s">
        <v>18</v>
      </c>
      <c r="M175" s="4" t="s">
        <v>17</v>
      </c>
      <c r="P175" s="5">
        <v>10</v>
      </c>
      <c r="Q175">
        <v>10</v>
      </c>
      <c r="R175">
        <v>3.2370370370370374</v>
      </c>
      <c r="S175">
        <v>8.3000000000000007</v>
      </c>
      <c r="T175" s="8">
        <v>0</v>
      </c>
      <c r="U175" s="7">
        <f>S175/VLOOKUP(M175,Constants!$A$2:$B$5,2,FALSE)</f>
        <v>1.4310344827586208</v>
      </c>
      <c r="V175" s="7">
        <f t="shared" si="4"/>
        <v>46.323116219667945</v>
      </c>
      <c r="W175" s="13">
        <f t="shared" si="5"/>
        <v>4.6323116219667941</v>
      </c>
      <c r="X175">
        <v>36.65</v>
      </c>
    </row>
    <row r="176" spans="1:24" ht="16" x14ac:dyDescent="0.35">
      <c r="A176" s="11" t="s">
        <v>24</v>
      </c>
      <c r="B176" s="4" t="s">
        <v>31</v>
      </c>
      <c r="C176">
        <v>2024</v>
      </c>
      <c r="D176" t="s">
        <v>10</v>
      </c>
      <c r="E176" t="s">
        <v>11</v>
      </c>
      <c r="F176" t="s">
        <v>11</v>
      </c>
      <c r="G176" t="s">
        <v>16</v>
      </c>
      <c r="H176" t="s">
        <v>16</v>
      </c>
      <c r="I176" t="s">
        <v>11</v>
      </c>
      <c r="L176" s="4" t="s">
        <v>17</v>
      </c>
      <c r="M176" s="4" t="s">
        <v>19</v>
      </c>
      <c r="P176" s="5">
        <v>146.19999999999999</v>
      </c>
      <c r="Q176">
        <v>146.19999999999999</v>
      </c>
      <c r="R176">
        <v>4.9851851851851849</v>
      </c>
      <c r="S176">
        <v>10.1</v>
      </c>
      <c r="T176" s="8">
        <v>0</v>
      </c>
      <c r="U176" s="7">
        <f>S176/VLOOKUP(M176,Constants!$A$2:$B$5,2,FALSE)</f>
        <v>1.8003565062388591</v>
      </c>
      <c r="V176" s="7">
        <f t="shared" si="4"/>
        <v>89.751105829537181</v>
      </c>
      <c r="W176" s="13">
        <f t="shared" si="5"/>
        <v>0.61389265273281246</v>
      </c>
      <c r="X176">
        <v>74.3</v>
      </c>
    </row>
    <row r="177" spans="1:24" ht="16" x14ac:dyDescent="0.35">
      <c r="A177" s="11" t="s">
        <v>25</v>
      </c>
      <c r="B177" s="4" t="s">
        <v>31</v>
      </c>
      <c r="C177">
        <v>2024</v>
      </c>
      <c r="D177" t="s">
        <v>10</v>
      </c>
      <c r="E177" t="s">
        <v>11</v>
      </c>
      <c r="F177" t="s">
        <v>11</v>
      </c>
      <c r="G177" t="s">
        <v>16</v>
      </c>
      <c r="H177" t="s">
        <v>16</v>
      </c>
      <c r="I177" t="s">
        <v>11</v>
      </c>
      <c r="L177" s="4" t="s">
        <v>17</v>
      </c>
      <c r="M177" s="4" t="s">
        <v>19</v>
      </c>
      <c r="P177" s="5">
        <v>79.2</v>
      </c>
      <c r="Q177">
        <v>79.2</v>
      </c>
      <c r="R177">
        <v>4.2814814814814817</v>
      </c>
      <c r="S177">
        <v>7.9</v>
      </c>
      <c r="T177" s="8">
        <v>0</v>
      </c>
      <c r="U177" s="7">
        <f>S177/VLOOKUP(M177,Constants!$A$2:$B$5,2,FALSE)</f>
        <v>1.4081996434937611</v>
      </c>
      <c r="V177" s="7">
        <f t="shared" si="4"/>
        <v>60.291806958473629</v>
      </c>
      <c r="W177" s="13">
        <f t="shared" si="5"/>
        <v>0.76126018886961655</v>
      </c>
      <c r="X177">
        <v>41.8</v>
      </c>
    </row>
    <row r="178" spans="1:24" ht="16" x14ac:dyDescent="0.35">
      <c r="A178" s="11" t="s">
        <v>26</v>
      </c>
      <c r="B178" s="4" t="s">
        <v>31</v>
      </c>
      <c r="C178">
        <v>2024</v>
      </c>
      <c r="D178" t="s">
        <v>10</v>
      </c>
      <c r="E178" t="s">
        <v>11</v>
      </c>
      <c r="F178" t="s">
        <v>11</v>
      </c>
      <c r="G178" t="s">
        <v>16</v>
      </c>
      <c r="H178" t="s">
        <v>16</v>
      </c>
      <c r="I178" t="s">
        <v>11</v>
      </c>
      <c r="L178" s="4" t="s">
        <v>17</v>
      </c>
      <c r="M178" s="4" t="s">
        <v>19</v>
      </c>
      <c r="P178" s="5">
        <v>10</v>
      </c>
      <c r="Q178">
        <v>10</v>
      </c>
      <c r="R178">
        <v>2.9703703703703703</v>
      </c>
      <c r="S178">
        <v>6.9</v>
      </c>
      <c r="T178" s="8">
        <v>0</v>
      </c>
      <c r="U178" s="7">
        <f>S178/VLOOKUP(M178,Constants!$A$2:$B$5,2,FALSE)</f>
        <v>1.2299465240641712</v>
      </c>
      <c r="V178" s="7">
        <f t="shared" si="4"/>
        <v>36.533967122202412</v>
      </c>
      <c r="W178" s="13">
        <f t="shared" si="5"/>
        <v>3.6533967122202413</v>
      </c>
      <c r="X178">
        <v>63.8</v>
      </c>
    </row>
    <row r="179" spans="1:24" ht="16" x14ac:dyDescent="0.35">
      <c r="A179" s="11" t="s">
        <v>25</v>
      </c>
      <c r="B179" s="4" t="s">
        <v>31</v>
      </c>
      <c r="C179">
        <v>2024</v>
      </c>
      <c r="D179" t="s">
        <v>10</v>
      </c>
      <c r="E179" t="s">
        <v>11</v>
      </c>
      <c r="F179" t="s">
        <v>11</v>
      </c>
      <c r="G179" t="s">
        <v>16</v>
      </c>
      <c r="H179" t="s">
        <v>16</v>
      </c>
      <c r="I179" t="s">
        <v>11</v>
      </c>
      <c r="L179" s="4" t="s">
        <v>20</v>
      </c>
      <c r="M179" s="4" t="s">
        <v>18</v>
      </c>
      <c r="P179" s="5">
        <v>10</v>
      </c>
      <c r="Q179">
        <v>75.2</v>
      </c>
      <c r="R179">
        <v>1.496598639455782</v>
      </c>
      <c r="S179">
        <v>20.100000000000001</v>
      </c>
      <c r="T179" s="8">
        <v>0</v>
      </c>
      <c r="U179" s="7">
        <f>S179/VLOOKUP(M179,Constants!$A$2:$B$5,2,FALSE)</f>
        <v>3.2160000000000002</v>
      </c>
      <c r="V179" s="7">
        <f t="shared" si="4"/>
        <v>48.130612244897954</v>
      </c>
      <c r="W179" s="13">
        <f t="shared" si="5"/>
        <v>0.64003473729917493</v>
      </c>
      <c r="X179" t="s">
        <v>37</v>
      </c>
    </row>
    <row r="180" spans="1:24" ht="16" x14ac:dyDescent="0.35">
      <c r="A180" s="11" t="s">
        <v>24</v>
      </c>
      <c r="B180" s="4" t="s">
        <v>31</v>
      </c>
      <c r="C180">
        <v>2024</v>
      </c>
      <c r="D180" t="s">
        <v>10</v>
      </c>
      <c r="E180" t="s">
        <v>11</v>
      </c>
      <c r="F180" t="s">
        <v>11</v>
      </c>
      <c r="G180" t="s">
        <v>16</v>
      </c>
      <c r="H180" t="s">
        <v>16</v>
      </c>
      <c r="I180" t="s">
        <v>11</v>
      </c>
      <c r="L180" s="4" t="s">
        <v>20</v>
      </c>
      <c r="M180" s="4" t="s">
        <v>18</v>
      </c>
      <c r="P180" s="5">
        <v>10</v>
      </c>
      <c r="Q180">
        <v>175.2</v>
      </c>
      <c r="R180">
        <v>1.330309901738473</v>
      </c>
      <c r="S180">
        <v>20.5</v>
      </c>
      <c r="T180" s="8">
        <v>0</v>
      </c>
      <c r="U180" s="7">
        <f>S180/VLOOKUP(M180,Constants!$A$2:$B$5,2,FALSE)</f>
        <v>3.28</v>
      </c>
      <c r="V180" s="7">
        <f t="shared" si="4"/>
        <v>43.634164777021908</v>
      </c>
      <c r="W180" s="13">
        <f t="shared" si="5"/>
        <v>0.24905345192364103</v>
      </c>
      <c r="X180" t="s">
        <v>37</v>
      </c>
    </row>
    <row r="181" spans="1:24" ht="16" x14ac:dyDescent="0.35">
      <c r="A181" s="11" t="s">
        <v>26</v>
      </c>
      <c r="B181" s="4" t="s">
        <v>31</v>
      </c>
      <c r="C181">
        <v>2024</v>
      </c>
      <c r="D181" t="s">
        <v>10</v>
      </c>
      <c r="E181" t="s">
        <v>11</v>
      </c>
      <c r="F181" t="s">
        <v>11</v>
      </c>
      <c r="G181" t="s">
        <v>16</v>
      </c>
      <c r="H181" t="s">
        <v>16</v>
      </c>
      <c r="I181" t="s">
        <v>11</v>
      </c>
      <c r="L181" s="4" t="s">
        <v>20</v>
      </c>
      <c r="M181" s="4" t="s">
        <v>18</v>
      </c>
      <c r="P181" s="5">
        <v>10</v>
      </c>
      <c r="Q181">
        <v>10</v>
      </c>
      <c r="R181">
        <v>0.8692365835222976</v>
      </c>
      <c r="S181">
        <v>18.3</v>
      </c>
      <c r="T181" s="8">
        <v>0</v>
      </c>
      <c r="U181" s="7">
        <f>S181/VLOOKUP(M181,Constants!$A$2:$B$5,2,FALSE)</f>
        <v>2.9279999999999999</v>
      </c>
      <c r="V181" s="7">
        <f t="shared" si="4"/>
        <v>25.451247165532877</v>
      </c>
      <c r="W181" s="13">
        <f t="shared" si="5"/>
        <v>2.5451247165532878</v>
      </c>
      <c r="X181" t="s">
        <v>37</v>
      </c>
    </row>
    <row r="182" spans="1:24" x14ac:dyDescent="0.35">
      <c r="A182" t="s">
        <v>24</v>
      </c>
      <c r="B182" t="s">
        <v>29</v>
      </c>
      <c r="C182">
        <v>2025</v>
      </c>
      <c r="D182" t="s">
        <v>10</v>
      </c>
      <c r="E182" t="s">
        <v>11</v>
      </c>
      <c r="F182" t="s">
        <v>11</v>
      </c>
      <c r="G182" t="s">
        <v>15</v>
      </c>
      <c r="H182" t="s">
        <v>15</v>
      </c>
      <c r="I182" t="s">
        <v>15</v>
      </c>
      <c r="K182" t="s">
        <v>17</v>
      </c>
      <c r="L182" t="s">
        <v>18</v>
      </c>
      <c r="M182" t="s">
        <v>17</v>
      </c>
      <c r="O182" s="5">
        <v>146.19999999999999</v>
      </c>
      <c r="P182">
        <v>175.2</v>
      </c>
      <c r="Q182">
        <v>146.19999999999999</v>
      </c>
      <c r="R182">
        <v>5.7228571428571424</v>
      </c>
      <c r="S182">
        <v>10.6</v>
      </c>
      <c r="T182">
        <v>2.8195292066259805</v>
      </c>
      <c r="U182">
        <v>1.8275862068965518</v>
      </c>
      <c r="V182">
        <v>104.59014778325124</v>
      </c>
      <c r="W182">
        <v>0.71539088771033688</v>
      </c>
      <c r="X182">
        <v>58.85</v>
      </c>
    </row>
    <row r="183" spans="1:24" x14ac:dyDescent="0.35">
      <c r="A183" t="s">
        <v>25</v>
      </c>
      <c r="B183" t="s">
        <v>29</v>
      </c>
      <c r="C183">
        <v>2025</v>
      </c>
      <c r="D183" t="s">
        <v>10</v>
      </c>
      <c r="E183" t="s">
        <v>11</v>
      </c>
      <c r="F183" t="s">
        <v>11</v>
      </c>
      <c r="G183" t="s">
        <v>15</v>
      </c>
      <c r="H183" t="s">
        <v>15</v>
      </c>
      <c r="I183" t="s">
        <v>15</v>
      </c>
      <c r="K183" t="s">
        <v>17</v>
      </c>
      <c r="L183" t="s">
        <v>18</v>
      </c>
      <c r="M183" t="s">
        <v>17</v>
      </c>
      <c r="O183" s="5">
        <v>79.2</v>
      </c>
      <c r="P183">
        <v>75.2</v>
      </c>
      <c r="Q183">
        <v>79.2</v>
      </c>
      <c r="R183">
        <v>4.8207142857142857</v>
      </c>
      <c r="S183">
        <v>8.9</v>
      </c>
      <c r="T183">
        <v>1.1127315940150164</v>
      </c>
      <c r="U183">
        <v>1.5344827586206897</v>
      </c>
      <c r="V183">
        <v>73.973029556650246</v>
      </c>
      <c r="W183">
        <v>0.93400289844255358</v>
      </c>
      <c r="X183">
        <v>81.599999999999994</v>
      </c>
    </row>
    <row r="184" spans="1:24" x14ac:dyDescent="0.35">
      <c r="A184" t="s">
        <v>26</v>
      </c>
      <c r="B184" t="s">
        <v>29</v>
      </c>
      <c r="C184">
        <v>2025</v>
      </c>
      <c r="D184" t="s">
        <v>10</v>
      </c>
      <c r="E184" t="s">
        <v>11</v>
      </c>
      <c r="F184" t="s">
        <v>11</v>
      </c>
      <c r="G184" t="s">
        <v>15</v>
      </c>
      <c r="H184" t="s">
        <v>15</v>
      </c>
      <c r="I184" t="s">
        <v>15</v>
      </c>
      <c r="K184" t="s">
        <v>17</v>
      </c>
      <c r="L184" t="s">
        <v>18</v>
      </c>
      <c r="M184" t="s">
        <v>17</v>
      </c>
      <c r="O184" s="5">
        <v>10</v>
      </c>
      <c r="P184">
        <v>10</v>
      </c>
      <c r="Q184">
        <v>10</v>
      </c>
      <c r="R184">
        <v>3.7857142857142856</v>
      </c>
      <c r="S184">
        <v>8.1999999999999993</v>
      </c>
      <c r="T184">
        <v>1.2878976314843988</v>
      </c>
      <c r="U184">
        <v>1.4137931034482758</v>
      </c>
      <c r="V184">
        <v>53.522167487684726</v>
      </c>
      <c r="W184">
        <v>5.3522167487684724</v>
      </c>
      <c r="X184">
        <v>89.6</v>
      </c>
    </row>
    <row r="185" spans="1:24" x14ac:dyDescent="0.35">
      <c r="A185" t="s">
        <v>26</v>
      </c>
      <c r="B185" t="s">
        <v>29</v>
      </c>
      <c r="C185">
        <v>2025</v>
      </c>
      <c r="D185" t="s">
        <v>10</v>
      </c>
      <c r="E185" t="s">
        <v>11</v>
      </c>
      <c r="F185" t="s">
        <v>21</v>
      </c>
      <c r="G185" t="s">
        <v>15</v>
      </c>
      <c r="H185" t="s">
        <v>15</v>
      </c>
      <c r="I185" t="s">
        <v>15</v>
      </c>
      <c r="K185" t="s">
        <v>18</v>
      </c>
      <c r="L185" t="s">
        <v>17</v>
      </c>
      <c r="M185" t="s">
        <v>18</v>
      </c>
      <c r="O185" s="5">
        <v>10</v>
      </c>
      <c r="P185">
        <v>10</v>
      </c>
      <c r="Q185">
        <v>10</v>
      </c>
      <c r="R185">
        <v>0.86428571428571421</v>
      </c>
      <c r="S185">
        <v>19.3</v>
      </c>
      <c r="U185">
        <v>3.0880000000000001</v>
      </c>
      <c r="V185">
        <v>26.689142857142855</v>
      </c>
      <c r="W185">
        <v>2.6689142857142856</v>
      </c>
      <c r="X185">
        <v>62.95</v>
      </c>
    </row>
    <row r="186" spans="1:24" x14ac:dyDescent="0.35">
      <c r="A186" t="s">
        <v>25</v>
      </c>
      <c r="B186" t="s">
        <v>29</v>
      </c>
      <c r="C186">
        <v>2025</v>
      </c>
      <c r="D186" t="s">
        <v>10</v>
      </c>
      <c r="E186" t="s">
        <v>11</v>
      </c>
      <c r="F186" t="s">
        <v>21</v>
      </c>
      <c r="G186" t="s">
        <v>15</v>
      </c>
      <c r="H186" t="s">
        <v>15</v>
      </c>
      <c r="I186" t="s">
        <v>15</v>
      </c>
      <c r="K186" t="s">
        <v>18</v>
      </c>
      <c r="L186" t="s">
        <v>17</v>
      </c>
      <c r="M186" t="s">
        <v>18</v>
      </c>
      <c r="O186" s="5">
        <v>75.2</v>
      </c>
      <c r="P186">
        <v>79.2</v>
      </c>
      <c r="Q186">
        <v>75.2</v>
      </c>
      <c r="R186">
        <v>1.3499999999999999</v>
      </c>
      <c r="S186">
        <v>19.8</v>
      </c>
      <c r="U186">
        <v>3.1680000000000001</v>
      </c>
      <c r="V186">
        <v>42.768000000000001</v>
      </c>
      <c r="W186">
        <v>0.56872340425531909</v>
      </c>
      <c r="X186">
        <v>121.75</v>
      </c>
    </row>
    <row r="187" spans="1:24" x14ac:dyDescent="0.35">
      <c r="A187" t="s">
        <v>24</v>
      </c>
      <c r="B187" t="s">
        <v>29</v>
      </c>
      <c r="C187">
        <v>2025</v>
      </c>
      <c r="D187" t="s">
        <v>10</v>
      </c>
      <c r="E187" t="s">
        <v>11</v>
      </c>
      <c r="F187" t="s">
        <v>21</v>
      </c>
      <c r="G187" t="s">
        <v>15</v>
      </c>
      <c r="H187" t="s">
        <v>15</v>
      </c>
      <c r="I187" t="s">
        <v>15</v>
      </c>
      <c r="K187" t="s">
        <v>18</v>
      </c>
      <c r="L187" t="s">
        <v>17</v>
      </c>
      <c r="M187" t="s">
        <v>18</v>
      </c>
      <c r="O187" s="5">
        <v>175.2</v>
      </c>
      <c r="P187">
        <v>146.19999999999999</v>
      </c>
      <c r="Q187">
        <v>175.2</v>
      </c>
      <c r="R187">
        <v>1.377142857142857</v>
      </c>
      <c r="S187">
        <v>20</v>
      </c>
      <c r="U187">
        <v>3.2</v>
      </c>
      <c r="V187">
        <v>44.068571428571424</v>
      </c>
      <c r="W187">
        <v>0.25153294194390086</v>
      </c>
      <c r="X187">
        <v>117.05</v>
      </c>
    </row>
    <row r="188" spans="1:24" x14ac:dyDescent="0.35">
      <c r="A188" t="s">
        <v>26</v>
      </c>
      <c r="B188" t="s">
        <v>30</v>
      </c>
      <c r="C188">
        <v>2025</v>
      </c>
      <c r="D188" t="s">
        <v>10</v>
      </c>
      <c r="E188" t="s">
        <v>11</v>
      </c>
      <c r="F188" t="s">
        <v>11</v>
      </c>
      <c r="G188" t="s">
        <v>15</v>
      </c>
      <c r="H188" t="s">
        <v>15</v>
      </c>
      <c r="I188" t="s">
        <v>15</v>
      </c>
      <c r="K188" t="s">
        <v>17</v>
      </c>
      <c r="L188" t="s">
        <v>18</v>
      </c>
      <c r="M188" t="s">
        <v>19</v>
      </c>
      <c r="O188" s="5">
        <v>10</v>
      </c>
      <c r="P188">
        <v>10</v>
      </c>
      <c r="Q188">
        <v>10</v>
      </c>
      <c r="R188">
        <v>4.7028571428571428</v>
      </c>
      <c r="S188">
        <v>9.3000000000000007</v>
      </c>
      <c r="T188">
        <v>0.53802520294826939</v>
      </c>
      <c r="U188">
        <v>1.6034482758620692</v>
      </c>
      <c r="V188">
        <v>75.407881773399026</v>
      </c>
      <c r="W188">
        <v>7.5407881773399028</v>
      </c>
      <c r="X188">
        <v>115.44999999999999</v>
      </c>
    </row>
    <row r="189" spans="1:24" x14ac:dyDescent="0.35">
      <c r="A189" t="s">
        <v>24</v>
      </c>
      <c r="B189" t="s">
        <v>30</v>
      </c>
      <c r="C189">
        <v>2025</v>
      </c>
      <c r="D189" t="s">
        <v>10</v>
      </c>
      <c r="E189" t="s">
        <v>11</v>
      </c>
      <c r="F189" t="s">
        <v>11</v>
      </c>
      <c r="G189" t="s">
        <v>15</v>
      </c>
      <c r="H189" t="s">
        <v>15</v>
      </c>
      <c r="I189" t="s">
        <v>15</v>
      </c>
      <c r="K189" t="s">
        <v>17</v>
      </c>
      <c r="L189" t="s">
        <v>18</v>
      </c>
      <c r="M189" t="s">
        <v>19</v>
      </c>
      <c r="O189" s="5">
        <v>146.19999999999999</v>
      </c>
      <c r="P189">
        <v>175.2</v>
      </c>
      <c r="Q189">
        <v>146.19999999999999</v>
      </c>
      <c r="R189">
        <v>5.5521428571428562</v>
      </c>
      <c r="S189">
        <v>12</v>
      </c>
      <c r="T189">
        <v>0.63382397116251121</v>
      </c>
      <c r="U189">
        <v>2.0689655172413794</v>
      </c>
      <c r="V189">
        <v>114.87192118226601</v>
      </c>
      <c r="W189">
        <v>0.78571765514545844</v>
      </c>
      <c r="X189">
        <v>94.5</v>
      </c>
    </row>
    <row r="190" spans="1:24" x14ac:dyDescent="0.35">
      <c r="A190" t="s">
        <v>25</v>
      </c>
      <c r="B190" t="s">
        <v>30</v>
      </c>
      <c r="C190">
        <v>2025</v>
      </c>
      <c r="D190" t="s">
        <v>10</v>
      </c>
      <c r="E190" t="s">
        <v>11</v>
      </c>
      <c r="F190" t="s">
        <v>11</v>
      </c>
      <c r="G190" t="s">
        <v>15</v>
      </c>
      <c r="H190" t="s">
        <v>15</v>
      </c>
      <c r="I190" t="s">
        <v>15</v>
      </c>
      <c r="K190" t="s">
        <v>17</v>
      </c>
      <c r="L190" t="s">
        <v>18</v>
      </c>
      <c r="M190" t="s">
        <v>19</v>
      </c>
      <c r="O190" s="5">
        <v>79.2</v>
      </c>
      <c r="P190">
        <v>75.2</v>
      </c>
      <c r="Q190">
        <v>79.2</v>
      </c>
      <c r="R190">
        <v>5.0128571428571425</v>
      </c>
      <c r="S190">
        <v>10.4</v>
      </c>
      <c r="T190">
        <v>0.57854019508913557</v>
      </c>
      <c r="U190">
        <v>1.7931034482758621</v>
      </c>
      <c r="V190">
        <v>89.885714285714272</v>
      </c>
      <c r="W190">
        <v>1.1349206349206347</v>
      </c>
      <c r="X190">
        <v>72.599999999999994</v>
      </c>
    </row>
    <row r="191" spans="1:24" x14ac:dyDescent="0.35">
      <c r="A191" t="s">
        <v>25</v>
      </c>
      <c r="B191" t="s">
        <v>30</v>
      </c>
      <c r="C191">
        <v>2025</v>
      </c>
      <c r="D191" t="s">
        <v>10</v>
      </c>
      <c r="E191" t="s">
        <v>11</v>
      </c>
      <c r="F191" t="s">
        <v>11</v>
      </c>
      <c r="G191" t="s">
        <v>15</v>
      </c>
      <c r="H191" t="s">
        <v>15</v>
      </c>
      <c r="I191" t="s">
        <v>15</v>
      </c>
      <c r="K191" t="s">
        <v>18</v>
      </c>
      <c r="L191" t="s">
        <v>19</v>
      </c>
      <c r="M191" t="s">
        <v>20</v>
      </c>
      <c r="O191" s="5">
        <v>75.2</v>
      </c>
      <c r="P191">
        <v>79.2</v>
      </c>
      <c r="Q191">
        <v>10</v>
      </c>
      <c r="R191">
        <v>1.1385714285714286</v>
      </c>
      <c r="U191">
        <v>0</v>
      </c>
      <c r="V191">
        <v>0</v>
      </c>
      <c r="W191">
        <v>0</v>
      </c>
      <c r="X191">
        <v>84.1</v>
      </c>
    </row>
    <row r="192" spans="1:24" x14ac:dyDescent="0.35">
      <c r="A192" t="s">
        <v>26</v>
      </c>
      <c r="B192" t="s">
        <v>30</v>
      </c>
      <c r="C192">
        <v>2025</v>
      </c>
      <c r="D192" t="s">
        <v>10</v>
      </c>
      <c r="E192" t="s">
        <v>11</v>
      </c>
      <c r="F192" t="s">
        <v>11</v>
      </c>
      <c r="G192" t="s">
        <v>15</v>
      </c>
      <c r="H192" t="s">
        <v>15</v>
      </c>
      <c r="I192" t="s">
        <v>15</v>
      </c>
      <c r="K192" t="s">
        <v>18</v>
      </c>
      <c r="L192" t="s">
        <v>19</v>
      </c>
      <c r="M192" t="s">
        <v>20</v>
      </c>
      <c r="O192" s="5">
        <v>10</v>
      </c>
      <c r="P192">
        <v>10</v>
      </c>
      <c r="Q192">
        <v>10</v>
      </c>
      <c r="R192">
        <v>0.94500000000000006</v>
      </c>
      <c r="U192">
        <v>0</v>
      </c>
      <c r="V192">
        <v>0</v>
      </c>
      <c r="W192">
        <v>0</v>
      </c>
      <c r="X192">
        <v>79.150000000000006</v>
      </c>
    </row>
    <row r="193" spans="1:24" x14ac:dyDescent="0.35">
      <c r="A193" t="s">
        <v>24</v>
      </c>
      <c r="B193" t="s">
        <v>30</v>
      </c>
      <c r="C193">
        <v>2025</v>
      </c>
      <c r="D193" t="s">
        <v>10</v>
      </c>
      <c r="E193" t="s">
        <v>11</v>
      </c>
      <c r="F193" t="s">
        <v>11</v>
      </c>
      <c r="G193" t="s">
        <v>15</v>
      </c>
      <c r="H193" t="s">
        <v>15</v>
      </c>
      <c r="I193" t="s">
        <v>15</v>
      </c>
      <c r="K193" t="s">
        <v>18</v>
      </c>
      <c r="L193" t="s">
        <v>19</v>
      </c>
      <c r="M193" t="s">
        <v>20</v>
      </c>
      <c r="O193" s="5">
        <v>175.2</v>
      </c>
      <c r="P193">
        <v>146.19999999999999</v>
      </c>
      <c r="Q193">
        <v>10</v>
      </c>
      <c r="R193">
        <v>1.5721428571428573</v>
      </c>
      <c r="U193">
        <v>0</v>
      </c>
      <c r="V193">
        <v>0</v>
      </c>
      <c r="W193">
        <v>0</v>
      </c>
      <c r="X193">
        <v>161.15</v>
      </c>
    </row>
    <row r="194" spans="1:24" x14ac:dyDescent="0.35">
      <c r="A194" t="s">
        <v>24</v>
      </c>
      <c r="B194" t="s">
        <v>31</v>
      </c>
      <c r="C194">
        <v>2025</v>
      </c>
      <c r="D194" t="s">
        <v>10</v>
      </c>
      <c r="E194" t="s">
        <v>11</v>
      </c>
      <c r="F194" t="s">
        <v>21</v>
      </c>
      <c r="G194" t="s">
        <v>15</v>
      </c>
      <c r="H194" t="s">
        <v>15</v>
      </c>
      <c r="I194" t="s">
        <v>15</v>
      </c>
      <c r="K194" t="s">
        <v>19</v>
      </c>
      <c r="L194" t="s">
        <v>20</v>
      </c>
      <c r="M194" t="s">
        <v>18</v>
      </c>
      <c r="O194" s="5">
        <v>146.19999999999999</v>
      </c>
      <c r="P194">
        <v>10</v>
      </c>
      <c r="Q194">
        <v>175.2</v>
      </c>
      <c r="R194">
        <v>0.74785714285714278</v>
      </c>
      <c r="S194">
        <v>19.3</v>
      </c>
      <c r="U194">
        <v>3.4402852049910875</v>
      </c>
      <c r="V194">
        <v>25.728418640183346</v>
      </c>
      <c r="W194">
        <v>0.17598097565104889</v>
      </c>
      <c r="X194">
        <v>93.3</v>
      </c>
    </row>
    <row r="195" spans="1:24" x14ac:dyDescent="0.35">
      <c r="A195" t="s">
        <v>26</v>
      </c>
      <c r="B195" t="s">
        <v>31</v>
      </c>
      <c r="C195">
        <v>2025</v>
      </c>
      <c r="D195" t="s">
        <v>10</v>
      </c>
      <c r="E195" t="s">
        <v>11</v>
      </c>
      <c r="F195" t="s">
        <v>21</v>
      </c>
      <c r="G195" t="s">
        <v>15</v>
      </c>
      <c r="H195" t="s">
        <v>15</v>
      </c>
      <c r="I195" t="s">
        <v>15</v>
      </c>
      <c r="K195" t="s">
        <v>19</v>
      </c>
      <c r="L195" t="s">
        <v>20</v>
      </c>
      <c r="M195" t="s">
        <v>18</v>
      </c>
      <c r="O195" s="5">
        <v>10</v>
      </c>
      <c r="P195">
        <v>10</v>
      </c>
      <c r="Q195">
        <v>10</v>
      </c>
      <c r="R195">
        <v>0.25857142857142856</v>
      </c>
      <c r="S195">
        <v>19.8</v>
      </c>
      <c r="U195">
        <v>3.5294117647058822</v>
      </c>
      <c r="V195">
        <v>9.1260504201680668</v>
      </c>
      <c r="W195">
        <v>0.9126050420168067</v>
      </c>
      <c r="X195">
        <v>48.7</v>
      </c>
    </row>
    <row r="196" spans="1:24" x14ac:dyDescent="0.35">
      <c r="A196" t="s">
        <v>25</v>
      </c>
      <c r="B196" t="s">
        <v>31</v>
      </c>
      <c r="C196">
        <v>2025</v>
      </c>
      <c r="D196" t="s">
        <v>10</v>
      </c>
      <c r="E196" t="s">
        <v>11</v>
      </c>
      <c r="F196" t="s">
        <v>21</v>
      </c>
      <c r="G196" t="s">
        <v>15</v>
      </c>
      <c r="H196" t="s">
        <v>15</v>
      </c>
      <c r="I196" t="s">
        <v>15</v>
      </c>
      <c r="K196" t="s">
        <v>19</v>
      </c>
      <c r="L196" t="s">
        <v>20</v>
      </c>
      <c r="M196" t="s">
        <v>18</v>
      </c>
      <c r="O196" s="5">
        <v>79.2</v>
      </c>
      <c r="P196">
        <v>10</v>
      </c>
      <c r="Q196">
        <v>75.2</v>
      </c>
      <c r="R196">
        <v>0.70642857142857141</v>
      </c>
      <c r="S196">
        <v>20</v>
      </c>
      <c r="U196">
        <v>3.5650623885918002</v>
      </c>
      <c r="V196">
        <v>25.184619302266359</v>
      </c>
      <c r="W196">
        <v>0.31798761745285808</v>
      </c>
      <c r="X196">
        <v>43.15</v>
      </c>
    </row>
    <row r="197" spans="1:24" x14ac:dyDescent="0.35">
      <c r="A197" t="s">
        <v>26</v>
      </c>
      <c r="B197" t="s">
        <v>30</v>
      </c>
      <c r="C197">
        <v>2025</v>
      </c>
      <c r="D197" t="s">
        <v>10</v>
      </c>
      <c r="E197" t="s">
        <v>11</v>
      </c>
      <c r="F197" t="s">
        <v>11</v>
      </c>
      <c r="G197" t="s">
        <v>15</v>
      </c>
      <c r="H197" t="s">
        <v>15</v>
      </c>
      <c r="I197" t="s">
        <v>15</v>
      </c>
      <c r="K197" t="s">
        <v>20</v>
      </c>
      <c r="L197" t="s">
        <v>17</v>
      </c>
      <c r="M197" t="s">
        <v>17</v>
      </c>
      <c r="O197" s="5">
        <v>10</v>
      </c>
      <c r="P197">
        <v>10</v>
      </c>
      <c r="Q197">
        <v>10</v>
      </c>
      <c r="R197">
        <v>3.2728571428571431</v>
      </c>
      <c r="S197">
        <v>8.1</v>
      </c>
      <c r="T197">
        <v>0.96357163887476249</v>
      </c>
      <c r="U197">
        <v>1.296</v>
      </c>
      <c r="V197">
        <v>42.416228571428576</v>
      </c>
      <c r="W197">
        <v>4.2416228571428576</v>
      </c>
      <c r="X197">
        <v>17.2</v>
      </c>
    </row>
    <row r="198" spans="1:24" x14ac:dyDescent="0.35">
      <c r="A198" t="s">
        <v>24</v>
      </c>
      <c r="B198" t="s">
        <v>30</v>
      </c>
      <c r="C198">
        <v>2025</v>
      </c>
      <c r="D198" t="s">
        <v>10</v>
      </c>
      <c r="E198" t="s">
        <v>11</v>
      </c>
      <c r="F198" t="s">
        <v>11</v>
      </c>
      <c r="G198" t="s">
        <v>15</v>
      </c>
      <c r="H198" t="s">
        <v>15</v>
      </c>
      <c r="I198" t="s">
        <v>15</v>
      </c>
      <c r="K198" t="s">
        <v>20</v>
      </c>
      <c r="L198" t="s">
        <v>17</v>
      </c>
      <c r="M198" t="s">
        <v>17</v>
      </c>
      <c r="O198" s="5">
        <v>10</v>
      </c>
      <c r="P198">
        <v>146.19999999999999</v>
      </c>
      <c r="Q198">
        <v>146.19999999999999</v>
      </c>
      <c r="R198">
        <v>4.7642857142857142</v>
      </c>
      <c r="S198">
        <v>9.9</v>
      </c>
      <c r="T198">
        <v>1.0135172262212209</v>
      </c>
      <c r="U198">
        <v>1.5840000000000001</v>
      </c>
      <c r="V198">
        <v>75.466285714285718</v>
      </c>
      <c r="W198">
        <v>7.5466285714285721</v>
      </c>
      <c r="X198">
        <v>74.400000000000006</v>
      </c>
    </row>
    <row r="199" spans="1:24" x14ac:dyDescent="0.35">
      <c r="A199" t="s">
        <v>25</v>
      </c>
      <c r="B199" t="s">
        <v>30</v>
      </c>
      <c r="C199">
        <v>2025</v>
      </c>
      <c r="D199" t="s">
        <v>10</v>
      </c>
      <c r="E199" t="s">
        <v>11</v>
      </c>
      <c r="F199" t="s">
        <v>11</v>
      </c>
      <c r="G199" t="s">
        <v>15</v>
      </c>
      <c r="H199" t="s">
        <v>15</v>
      </c>
      <c r="I199" t="s">
        <v>15</v>
      </c>
      <c r="K199" t="s">
        <v>20</v>
      </c>
      <c r="L199" t="s">
        <v>17</v>
      </c>
      <c r="M199" t="s">
        <v>17</v>
      </c>
      <c r="O199" s="5">
        <v>10</v>
      </c>
      <c r="P199">
        <v>79.2</v>
      </c>
      <c r="Q199">
        <v>79.2</v>
      </c>
      <c r="R199">
        <v>4.9892857142857148</v>
      </c>
      <c r="S199">
        <v>8.4</v>
      </c>
      <c r="T199">
        <v>1.0854965598530744</v>
      </c>
      <c r="U199">
        <v>1.3440000000000001</v>
      </c>
      <c r="V199">
        <v>67.056000000000012</v>
      </c>
      <c r="W199">
        <v>6.7056000000000013</v>
      </c>
      <c r="X199">
        <v>88.65</v>
      </c>
    </row>
    <row r="200" spans="1:24" x14ac:dyDescent="0.35">
      <c r="A200" t="s">
        <v>25</v>
      </c>
      <c r="B200" t="s">
        <v>31</v>
      </c>
      <c r="C200">
        <v>2025</v>
      </c>
      <c r="D200" t="s">
        <v>10</v>
      </c>
      <c r="E200" t="s">
        <v>11</v>
      </c>
      <c r="F200" t="s">
        <v>11</v>
      </c>
      <c r="G200" t="s">
        <v>15</v>
      </c>
      <c r="H200" t="s">
        <v>15</v>
      </c>
      <c r="I200" t="s">
        <v>15</v>
      </c>
      <c r="K200" t="s">
        <v>20</v>
      </c>
      <c r="L200" t="s">
        <v>18</v>
      </c>
      <c r="M200" t="s">
        <v>17</v>
      </c>
      <c r="O200" s="5">
        <v>10</v>
      </c>
      <c r="P200">
        <v>75.2</v>
      </c>
      <c r="Q200">
        <v>79.2</v>
      </c>
      <c r="R200">
        <v>4.3678571428571429</v>
      </c>
      <c r="S200">
        <v>8.6999999999999993</v>
      </c>
      <c r="T200">
        <v>0.61847236235717595</v>
      </c>
      <c r="U200">
        <v>1.3919999999999999</v>
      </c>
      <c r="V200">
        <v>60.800571428571423</v>
      </c>
      <c r="W200">
        <v>6.0800571428571422</v>
      </c>
      <c r="X200">
        <v>53.95</v>
      </c>
    </row>
    <row r="201" spans="1:24" x14ac:dyDescent="0.35">
      <c r="A201" t="s">
        <v>24</v>
      </c>
      <c r="B201" t="s">
        <v>31</v>
      </c>
      <c r="C201">
        <v>2025</v>
      </c>
      <c r="D201" t="s">
        <v>10</v>
      </c>
      <c r="E201" t="s">
        <v>11</v>
      </c>
      <c r="F201" t="s">
        <v>11</v>
      </c>
      <c r="G201" t="s">
        <v>15</v>
      </c>
      <c r="H201" t="s">
        <v>15</v>
      </c>
      <c r="I201" t="s">
        <v>15</v>
      </c>
      <c r="K201" t="s">
        <v>20</v>
      </c>
      <c r="L201" t="s">
        <v>18</v>
      </c>
      <c r="M201" t="s">
        <v>17</v>
      </c>
      <c r="O201" s="5">
        <v>10</v>
      </c>
      <c r="P201">
        <v>175.2</v>
      </c>
      <c r="Q201">
        <v>146.19999999999999</v>
      </c>
      <c r="R201">
        <v>4.637142857142857</v>
      </c>
      <c r="S201">
        <v>10</v>
      </c>
      <c r="T201">
        <v>1.6036639362408678</v>
      </c>
      <c r="U201">
        <v>1.6</v>
      </c>
      <c r="V201">
        <v>74.194285714285712</v>
      </c>
      <c r="W201">
        <v>7.419428571428571</v>
      </c>
      <c r="X201">
        <v>133.6</v>
      </c>
    </row>
    <row r="202" spans="1:24" x14ac:dyDescent="0.35">
      <c r="A202" t="s">
        <v>26</v>
      </c>
      <c r="B202" t="s">
        <v>31</v>
      </c>
      <c r="C202">
        <v>2025</v>
      </c>
      <c r="D202" t="s">
        <v>10</v>
      </c>
      <c r="E202" t="s">
        <v>11</v>
      </c>
      <c r="F202" t="s">
        <v>11</v>
      </c>
      <c r="G202" t="s">
        <v>15</v>
      </c>
      <c r="H202" t="s">
        <v>15</v>
      </c>
      <c r="I202" t="s">
        <v>15</v>
      </c>
      <c r="K202" t="s">
        <v>20</v>
      </c>
      <c r="L202" t="s">
        <v>18</v>
      </c>
      <c r="M202" t="s">
        <v>17</v>
      </c>
      <c r="O202" s="5">
        <v>10</v>
      </c>
      <c r="P202">
        <v>10</v>
      </c>
      <c r="Q202">
        <v>10</v>
      </c>
      <c r="R202">
        <v>2.3485714285714283</v>
      </c>
      <c r="S202">
        <v>8.6999999999999993</v>
      </c>
      <c r="T202">
        <v>0.58839516238619383</v>
      </c>
      <c r="U202">
        <v>1.3919999999999999</v>
      </c>
      <c r="V202">
        <v>32.692114285714283</v>
      </c>
      <c r="W202">
        <v>3.2692114285714284</v>
      </c>
      <c r="X202">
        <v>25.6</v>
      </c>
    </row>
    <row r="203" spans="1:24" x14ac:dyDescent="0.35">
      <c r="A203" t="s">
        <v>26</v>
      </c>
      <c r="B203" t="s">
        <v>31</v>
      </c>
      <c r="C203">
        <v>2025</v>
      </c>
      <c r="D203" t="s">
        <v>10</v>
      </c>
      <c r="E203" t="s">
        <v>11</v>
      </c>
      <c r="F203" t="s">
        <v>21</v>
      </c>
      <c r="G203" t="s">
        <v>15</v>
      </c>
      <c r="H203" t="s">
        <v>15</v>
      </c>
      <c r="I203" t="s">
        <v>15</v>
      </c>
      <c r="K203" t="s">
        <v>18</v>
      </c>
      <c r="L203" t="s">
        <v>17</v>
      </c>
      <c r="M203" t="s">
        <v>18</v>
      </c>
      <c r="O203" s="5">
        <v>10</v>
      </c>
      <c r="P203">
        <v>10</v>
      </c>
      <c r="Q203">
        <v>10</v>
      </c>
      <c r="X203">
        <v>50</v>
      </c>
    </row>
    <row r="204" spans="1:24" x14ac:dyDescent="0.35">
      <c r="A204" t="s">
        <v>25</v>
      </c>
      <c r="B204" t="s">
        <v>31</v>
      </c>
      <c r="C204">
        <v>2025</v>
      </c>
      <c r="D204" t="s">
        <v>10</v>
      </c>
      <c r="E204" t="s">
        <v>11</v>
      </c>
      <c r="F204" t="s">
        <v>21</v>
      </c>
      <c r="G204" t="s">
        <v>15</v>
      </c>
      <c r="H204" t="s">
        <v>15</v>
      </c>
      <c r="I204" t="s">
        <v>15</v>
      </c>
      <c r="K204" t="s">
        <v>18</v>
      </c>
      <c r="L204" t="s">
        <v>17</v>
      </c>
      <c r="M204" t="s">
        <v>18</v>
      </c>
      <c r="O204" s="5">
        <v>75.2</v>
      </c>
      <c r="P204">
        <v>79.2</v>
      </c>
      <c r="Q204">
        <v>75.2</v>
      </c>
      <c r="X204">
        <v>148.9</v>
      </c>
    </row>
    <row r="205" spans="1:24" x14ac:dyDescent="0.35">
      <c r="A205" t="s">
        <v>24</v>
      </c>
      <c r="B205" t="s">
        <v>31</v>
      </c>
      <c r="C205">
        <v>2025</v>
      </c>
      <c r="D205" t="s">
        <v>10</v>
      </c>
      <c r="E205" t="s">
        <v>11</v>
      </c>
      <c r="F205" t="s">
        <v>21</v>
      </c>
      <c r="G205" t="s">
        <v>15</v>
      </c>
      <c r="H205" t="s">
        <v>15</v>
      </c>
      <c r="I205" t="s">
        <v>15</v>
      </c>
      <c r="K205" t="s">
        <v>18</v>
      </c>
      <c r="L205" t="s">
        <v>17</v>
      </c>
      <c r="M205" t="s">
        <v>18</v>
      </c>
      <c r="O205" s="5">
        <v>175.2</v>
      </c>
      <c r="P205">
        <v>146.19999999999999</v>
      </c>
      <c r="Q205">
        <v>175.2</v>
      </c>
      <c r="X205">
        <v>93.8</v>
      </c>
    </row>
    <row r="206" spans="1:24" x14ac:dyDescent="0.35">
      <c r="A206" t="s">
        <v>26</v>
      </c>
      <c r="B206" t="s">
        <v>30</v>
      </c>
      <c r="C206">
        <v>2025</v>
      </c>
      <c r="D206" t="s">
        <v>10</v>
      </c>
      <c r="E206" t="s">
        <v>11</v>
      </c>
      <c r="F206" t="s">
        <v>11</v>
      </c>
      <c r="G206" t="s">
        <v>15</v>
      </c>
      <c r="H206" t="s">
        <v>15</v>
      </c>
      <c r="I206" t="s">
        <v>15</v>
      </c>
      <c r="K206" t="s">
        <v>19</v>
      </c>
      <c r="L206" t="s">
        <v>20</v>
      </c>
      <c r="M206" t="s">
        <v>19</v>
      </c>
      <c r="O206" s="5">
        <v>10</v>
      </c>
      <c r="P206">
        <v>10</v>
      </c>
      <c r="Q206">
        <v>10</v>
      </c>
      <c r="R206">
        <v>4.2645772594752183</v>
      </c>
      <c r="S206">
        <v>7.5</v>
      </c>
      <c r="T206">
        <v>0.68170706153523797</v>
      </c>
      <c r="U206">
        <v>1.3368983957219251</v>
      </c>
      <c r="V206">
        <v>57.013064966246233</v>
      </c>
      <c r="W206">
        <v>5.701306496624623</v>
      </c>
      <c r="X206">
        <v>81.849999999999994</v>
      </c>
    </row>
    <row r="207" spans="1:24" x14ac:dyDescent="0.35">
      <c r="A207" t="s">
        <v>25</v>
      </c>
      <c r="B207" t="s">
        <v>30</v>
      </c>
      <c r="C207">
        <v>2025</v>
      </c>
      <c r="D207" t="s">
        <v>10</v>
      </c>
      <c r="E207" t="s">
        <v>11</v>
      </c>
      <c r="F207" t="s">
        <v>11</v>
      </c>
      <c r="G207" t="s">
        <v>15</v>
      </c>
      <c r="H207" t="s">
        <v>15</v>
      </c>
      <c r="I207" t="s">
        <v>15</v>
      </c>
      <c r="K207" t="s">
        <v>19</v>
      </c>
      <c r="L207" t="s">
        <v>20</v>
      </c>
      <c r="M207" t="s">
        <v>19</v>
      </c>
      <c r="O207" s="5">
        <v>79.2</v>
      </c>
      <c r="P207">
        <v>10</v>
      </c>
      <c r="Q207">
        <v>79.2</v>
      </c>
      <c r="R207">
        <v>5.3440233236151604</v>
      </c>
      <c r="S207">
        <v>9.3000000000000007</v>
      </c>
      <c r="T207">
        <v>0.79594993671776126</v>
      </c>
      <c r="U207">
        <v>1.6577540106951871</v>
      </c>
      <c r="V207">
        <v>88.590760979716549</v>
      </c>
      <c r="W207">
        <v>1.1185702143903604</v>
      </c>
      <c r="X207">
        <v>88.1</v>
      </c>
    </row>
    <row r="208" spans="1:24" x14ac:dyDescent="0.35">
      <c r="A208" t="s">
        <v>24</v>
      </c>
      <c r="B208" t="s">
        <v>30</v>
      </c>
      <c r="C208">
        <v>2025</v>
      </c>
      <c r="D208" t="s">
        <v>10</v>
      </c>
      <c r="E208" t="s">
        <v>11</v>
      </c>
      <c r="F208" t="s">
        <v>11</v>
      </c>
      <c r="G208" t="s">
        <v>15</v>
      </c>
      <c r="H208" t="s">
        <v>15</v>
      </c>
      <c r="I208" t="s">
        <v>15</v>
      </c>
      <c r="K208" t="s">
        <v>19</v>
      </c>
      <c r="L208" t="s">
        <v>20</v>
      </c>
      <c r="M208" t="s">
        <v>19</v>
      </c>
      <c r="O208" s="5">
        <v>146.19999999999999</v>
      </c>
      <c r="P208">
        <v>10</v>
      </c>
      <c r="Q208">
        <v>146.19999999999999</v>
      </c>
      <c r="R208">
        <v>5.6931486880466462</v>
      </c>
      <c r="S208">
        <v>9.6999999999999993</v>
      </c>
      <c r="T208">
        <v>1.4205554371759357</v>
      </c>
      <c r="U208">
        <v>1.7290552584670229</v>
      </c>
      <c r="V208">
        <v>98.437686763016856</v>
      </c>
      <c r="W208">
        <v>0.67330839099190742</v>
      </c>
      <c r="X208">
        <v>128.85</v>
      </c>
    </row>
    <row r="209" spans="1:24" x14ac:dyDescent="0.35">
      <c r="A209" t="s">
        <v>24</v>
      </c>
      <c r="B209" t="s">
        <v>31</v>
      </c>
      <c r="C209">
        <v>2025</v>
      </c>
      <c r="D209" t="s">
        <v>10</v>
      </c>
      <c r="E209" t="s">
        <v>11</v>
      </c>
      <c r="F209" t="s">
        <v>11</v>
      </c>
      <c r="G209" t="s">
        <v>15</v>
      </c>
      <c r="H209" t="s">
        <v>15</v>
      </c>
      <c r="I209" t="s">
        <v>15</v>
      </c>
      <c r="K209" t="s">
        <v>17</v>
      </c>
      <c r="L209" t="s">
        <v>19</v>
      </c>
      <c r="M209" t="s">
        <v>20</v>
      </c>
      <c r="O209" s="5">
        <v>146.19999999999999</v>
      </c>
      <c r="P209">
        <v>146.19999999999999</v>
      </c>
      <c r="Q209">
        <v>10</v>
      </c>
      <c r="R209">
        <v>1.2292857142857143</v>
      </c>
      <c r="U209">
        <v>0</v>
      </c>
      <c r="V209">
        <v>0</v>
      </c>
      <c r="W209">
        <v>0</v>
      </c>
      <c r="X209">
        <v>46.400000000000006</v>
      </c>
    </row>
    <row r="210" spans="1:24" x14ac:dyDescent="0.35">
      <c r="A210" t="s">
        <v>25</v>
      </c>
      <c r="B210" t="s">
        <v>31</v>
      </c>
      <c r="C210">
        <v>2025</v>
      </c>
      <c r="D210" t="s">
        <v>10</v>
      </c>
      <c r="E210" t="s">
        <v>11</v>
      </c>
      <c r="F210" t="s">
        <v>11</v>
      </c>
      <c r="G210" t="s">
        <v>15</v>
      </c>
      <c r="H210" t="s">
        <v>15</v>
      </c>
      <c r="I210" t="s">
        <v>15</v>
      </c>
      <c r="K210" t="s">
        <v>17</v>
      </c>
      <c r="L210" t="s">
        <v>19</v>
      </c>
      <c r="M210" t="s">
        <v>20</v>
      </c>
      <c r="O210" s="5">
        <v>79.2</v>
      </c>
      <c r="P210">
        <v>79.2</v>
      </c>
      <c r="Q210">
        <v>10</v>
      </c>
      <c r="R210">
        <v>1.3885714285714283</v>
      </c>
      <c r="U210">
        <v>0</v>
      </c>
      <c r="V210">
        <v>0</v>
      </c>
      <c r="W210">
        <v>0</v>
      </c>
      <c r="X210">
        <v>44.75</v>
      </c>
    </row>
    <row r="211" spans="1:24" x14ac:dyDescent="0.35">
      <c r="A211" t="s">
        <v>26</v>
      </c>
      <c r="B211" t="s">
        <v>31</v>
      </c>
      <c r="C211">
        <v>2025</v>
      </c>
      <c r="D211" t="s">
        <v>10</v>
      </c>
      <c r="E211" t="s">
        <v>11</v>
      </c>
      <c r="F211" t="s">
        <v>11</v>
      </c>
      <c r="G211" t="s">
        <v>15</v>
      </c>
      <c r="H211" t="s">
        <v>15</v>
      </c>
      <c r="I211" t="s">
        <v>15</v>
      </c>
      <c r="K211" t="s">
        <v>17</v>
      </c>
      <c r="L211" t="s">
        <v>19</v>
      </c>
      <c r="M211" t="s">
        <v>20</v>
      </c>
      <c r="O211" s="5">
        <v>10</v>
      </c>
      <c r="P211">
        <v>10</v>
      </c>
      <c r="Q211">
        <v>10</v>
      </c>
      <c r="R211">
        <v>1.5071428571428571</v>
      </c>
      <c r="U211">
        <v>0</v>
      </c>
      <c r="V211">
        <v>0</v>
      </c>
      <c r="W211">
        <v>0</v>
      </c>
      <c r="X211">
        <v>37.1</v>
      </c>
    </row>
    <row r="212" spans="1:24" x14ac:dyDescent="0.35">
      <c r="A212" t="s">
        <v>24</v>
      </c>
      <c r="B212" t="s">
        <v>30</v>
      </c>
      <c r="C212">
        <v>2025</v>
      </c>
      <c r="D212" t="s">
        <v>10</v>
      </c>
      <c r="E212" t="s">
        <v>11</v>
      </c>
      <c r="F212" t="s">
        <v>11</v>
      </c>
      <c r="G212" t="s">
        <v>15</v>
      </c>
      <c r="H212" t="s">
        <v>15</v>
      </c>
      <c r="I212" t="s">
        <v>15</v>
      </c>
      <c r="K212" t="s">
        <v>19</v>
      </c>
      <c r="L212" t="s">
        <v>20</v>
      </c>
      <c r="M212" t="s">
        <v>17</v>
      </c>
      <c r="O212" s="5">
        <v>146.19999999999999</v>
      </c>
      <c r="P212">
        <v>10</v>
      </c>
      <c r="Q212">
        <v>146.19999999999999</v>
      </c>
      <c r="R212">
        <v>5.5889212827988333</v>
      </c>
      <c r="S212">
        <v>11.1</v>
      </c>
      <c r="T212">
        <v>3.0536604565730778</v>
      </c>
      <c r="U212">
        <v>1.9786096256684491</v>
      </c>
      <c r="V212">
        <v>110.58293447249028</v>
      </c>
      <c r="W212">
        <v>0.75638122074206759</v>
      </c>
      <c r="X212">
        <v>129.35</v>
      </c>
    </row>
    <row r="213" spans="1:24" x14ac:dyDescent="0.35">
      <c r="A213" t="s">
        <v>26</v>
      </c>
      <c r="B213" t="s">
        <v>30</v>
      </c>
      <c r="C213">
        <v>2025</v>
      </c>
      <c r="D213" t="s">
        <v>10</v>
      </c>
      <c r="E213" t="s">
        <v>11</v>
      </c>
      <c r="F213" t="s">
        <v>11</v>
      </c>
      <c r="G213" t="s">
        <v>15</v>
      </c>
      <c r="H213" t="s">
        <v>15</v>
      </c>
      <c r="I213" t="s">
        <v>15</v>
      </c>
      <c r="K213" t="s">
        <v>19</v>
      </c>
      <c r="L213" t="s">
        <v>20</v>
      </c>
      <c r="M213" t="s">
        <v>17</v>
      </c>
      <c r="O213" s="5">
        <v>10</v>
      </c>
      <c r="P213">
        <v>10</v>
      </c>
      <c r="Q213">
        <v>10</v>
      </c>
      <c r="R213">
        <v>4.7565597667638482</v>
      </c>
      <c r="S213">
        <v>8.1</v>
      </c>
      <c r="T213">
        <v>0.33284793010193464</v>
      </c>
      <c r="U213">
        <v>1.4438502673796789</v>
      </c>
      <c r="V213">
        <v>68.67760091049405</v>
      </c>
      <c r="W213">
        <v>6.867760091049405</v>
      </c>
      <c r="X213">
        <v>55.45</v>
      </c>
    </row>
    <row r="214" spans="1:24" x14ac:dyDescent="0.35">
      <c r="A214" t="s">
        <v>25</v>
      </c>
      <c r="B214" t="s">
        <v>30</v>
      </c>
      <c r="C214">
        <v>2025</v>
      </c>
      <c r="D214" t="s">
        <v>10</v>
      </c>
      <c r="E214" t="s">
        <v>11</v>
      </c>
      <c r="F214" t="s">
        <v>11</v>
      </c>
      <c r="G214" t="s">
        <v>15</v>
      </c>
      <c r="H214" t="s">
        <v>15</v>
      </c>
      <c r="I214" t="s">
        <v>15</v>
      </c>
      <c r="K214" t="s">
        <v>19</v>
      </c>
      <c r="L214" t="s">
        <v>20</v>
      </c>
      <c r="M214" t="s">
        <v>17</v>
      </c>
      <c r="O214" s="5">
        <v>79.2</v>
      </c>
      <c r="P214">
        <v>10</v>
      </c>
      <c r="Q214">
        <v>79.2</v>
      </c>
      <c r="R214">
        <v>5.9737609329446064</v>
      </c>
      <c r="S214">
        <v>9.8000000000000007</v>
      </c>
      <c r="T214">
        <v>2.1283410004076164</v>
      </c>
      <c r="U214">
        <v>1.7468805704099821</v>
      </c>
      <c r="V214">
        <v>104.35446906035141</v>
      </c>
      <c r="W214">
        <v>1.3176069325801945</v>
      </c>
      <c r="X214">
        <v>107.05</v>
      </c>
    </row>
    <row r="215" spans="1:24" x14ac:dyDescent="0.35">
      <c r="A215" t="s">
        <v>25</v>
      </c>
      <c r="B215" t="s">
        <v>31</v>
      </c>
      <c r="C215">
        <v>2025</v>
      </c>
      <c r="D215" t="s">
        <v>10</v>
      </c>
      <c r="E215" t="s">
        <v>11</v>
      </c>
      <c r="F215" t="s">
        <v>11</v>
      </c>
      <c r="G215" t="s">
        <v>15</v>
      </c>
      <c r="H215" t="s">
        <v>15</v>
      </c>
      <c r="I215" t="s">
        <v>15</v>
      </c>
      <c r="K215" t="s">
        <v>20</v>
      </c>
      <c r="L215" t="s">
        <v>18</v>
      </c>
      <c r="M215" t="s">
        <v>17</v>
      </c>
      <c r="O215" s="5">
        <v>10</v>
      </c>
      <c r="P215">
        <v>75.2</v>
      </c>
      <c r="Q215">
        <v>79.2</v>
      </c>
      <c r="R215">
        <v>4.8957725947521862</v>
      </c>
      <c r="S215">
        <v>9.1999999999999993</v>
      </c>
      <c r="T215">
        <v>1.282640164801514</v>
      </c>
      <c r="U215">
        <v>1.472</v>
      </c>
      <c r="V215">
        <v>72.065772594752175</v>
      </c>
      <c r="W215">
        <v>7.2065772594752175</v>
      </c>
      <c r="X215">
        <v>94.95</v>
      </c>
    </row>
    <row r="216" spans="1:24" x14ac:dyDescent="0.35">
      <c r="A216" t="s">
        <v>24</v>
      </c>
      <c r="B216" t="s">
        <v>31</v>
      </c>
      <c r="C216">
        <v>2025</v>
      </c>
      <c r="D216" t="s">
        <v>10</v>
      </c>
      <c r="E216" t="s">
        <v>11</v>
      </c>
      <c r="F216" t="s">
        <v>11</v>
      </c>
      <c r="G216" t="s">
        <v>15</v>
      </c>
      <c r="H216" t="s">
        <v>15</v>
      </c>
      <c r="I216" t="s">
        <v>15</v>
      </c>
      <c r="K216" t="s">
        <v>20</v>
      </c>
      <c r="L216" t="s">
        <v>18</v>
      </c>
      <c r="M216" t="s">
        <v>17</v>
      </c>
      <c r="O216" s="5">
        <v>10</v>
      </c>
      <c r="P216">
        <v>175.2</v>
      </c>
      <c r="Q216">
        <v>146.19999999999999</v>
      </c>
      <c r="R216">
        <v>5.0276967930029146</v>
      </c>
      <c r="S216">
        <v>10.7</v>
      </c>
      <c r="T216">
        <v>0.88929269568569158</v>
      </c>
      <c r="U216">
        <v>1.712</v>
      </c>
      <c r="V216">
        <v>86.074169096209886</v>
      </c>
      <c r="W216">
        <v>8.6074169096209889</v>
      </c>
      <c r="X216">
        <v>102.4</v>
      </c>
    </row>
    <row r="217" spans="1:24" x14ac:dyDescent="0.35">
      <c r="A217" t="s">
        <v>26</v>
      </c>
      <c r="B217" t="s">
        <v>31</v>
      </c>
      <c r="C217">
        <v>2025</v>
      </c>
      <c r="D217" t="s">
        <v>10</v>
      </c>
      <c r="E217" t="s">
        <v>11</v>
      </c>
      <c r="F217" t="s">
        <v>11</v>
      </c>
      <c r="G217" t="s">
        <v>15</v>
      </c>
      <c r="H217" t="s">
        <v>15</v>
      </c>
      <c r="I217" t="s">
        <v>15</v>
      </c>
      <c r="K217" t="s">
        <v>20</v>
      </c>
      <c r="L217" t="s">
        <v>18</v>
      </c>
      <c r="M217" t="s">
        <v>17</v>
      </c>
      <c r="O217" s="5">
        <v>10</v>
      </c>
      <c r="P217">
        <v>10</v>
      </c>
      <c r="Q217">
        <v>10</v>
      </c>
      <c r="R217">
        <v>3.0451895043731776</v>
      </c>
      <c r="S217">
        <v>8.6</v>
      </c>
      <c r="T217">
        <v>0.67395626242544726</v>
      </c>
      <c r="U217">
        <v>1.3759999999999999</v>
      </c>
      <c r="V217">
        <v>41.901807580174918</v>
      </c>
      <c r="W217">
        <v>4.1901807580174921</v>
      </c>
      <c r="X217">
        <v>53.95</v>
      </c>
    </row>
    <row r="218" spans="1:24" x14ac:dyDescent="0.35">
      <c r="A218" t="s">
        <v>26</v>
      </c>
      <c r="B218" t="s">
        <v>31</v>
      </c>
      <c r="C218">
        <v>2025</v>
      </c>
      <c r="D218" t="s">
        <v>10</v>
      </c>
      <c r="E218" t="s">
        <v>11</v>
      </c>
      <c r="F218" t="s">
        <v>11</v>
      </c>
      <c r="G218" t="s">
        <v>15</v>
      </c>
      <c r="H218" t="s">
        <v>15</v>
      </c>
      <c r="I218" t="s">
        <v>15</v>
      </c>
      <c r="K218" t="s">
        <v>18</v>
      </c>
      <c r="L218" t="s">
        <v>17</v>
      </c>
      <c r="M218" t="s">
        <v>19</v>
      </c>
      <c r="O218" s="5">
        <v>10</v>
      </c>
      <c r="P218">
        <v>10</v>
      </c>
      <c r="Q218">
        <v>10</v>
      </c>
      <c r="R218">
        <v>4.0321428571428566</v>
      </c>
      <c r="S218">
        <v>6.9</v>
      </c>
      <c r="T218">
        <v>0.71168988491823137</v>
      </c>
      <c r="U218">
        <v>1.1040000000000001</v>
      </c>
      <c r="V218">
        <v>44.514857142857139</v>
      </c>
      <c r="W218">
        <v>4.451485714285714</v>
      </c>
      <c r="X218">
        <v>95</v>
      </c>
    </row>
    <row r="219" spans="1:24" x14ac:dyDescent="0.35">
      <c r="A219" t="s">
        <v>24</v>
      </c>
      <c r="B219" t="s">
        <v>31</v>
      </c>
      <c r="C219">
        <v>2025</v>
      </c>
      <c r="D219" t="s">
        <v>10</v>
      </c>
      <c r="E219" t="s">
        <v>11</v>
      </c>
      <c r="F219" t="s">
        <v>11</v>
      </c>
      <c r="G219" t="s">
        <v>15</v>
      </c>
      <c r="H219" t="s">
        <v>15</v>
      </c>
      <c r="I219" t="s">
        <v>15</v>
      </c>
      <c r="K219" t="s">
        <v>18</v>
      </c>
      <c r="L219" t="s">
        <v>17</v>
      </c>
      <c r="M219" t="s">
        <v>19</v>
      </c>
      <c r="O219" s="5">
        <v>175.2</v>
      </c>
      <c r="P219">
        <v>146.19999999999999</v>
      </c>
      <c r="Q219">
        <v>146.19999999999999</v>
      </c>
      <c r="R219">
        <v>6.0557142857142852</v>
      </c>
      <c r="S219">
        <v>10</v>
      </c>
      <c r="T219">
        <v>0.47371577053767744</v>
      </c>
      <c r="U219">
        <v>1.6</v>
      </c>
      <c r="V219">
        <v>96.891428571428563</v>
      </c>
      <c r="W219">
        <v>0.55303326810176123</v>
      </c>
      <c r="X219">
        <v>98.35</v>
      </c>
    </row>
    <row r="220" spans="1:24" x14ac:dyDescent="0.35">
      <c r="A220" t="s">
        <v>25</v>
      </c>
      <c r="B220" t="s">
        <v>31</v>
      </c>
      <c r="C220">
        <v>2025</v>
      </c>
      <c r="D220" t="s">
        <v>10</v>
      </c>
      <c r="E220" t="s">
        <v>11</v>
      </c>
      <c r="F220" t="s">
        <v>11</v>
      </c>
      <c r="G220" t="s">
        <v>15</v>
      </c>
      <c r="H220" t="s">
        <v>15</v>
      </c>
      <c r="I220" t="s">
        <v>15</v>
      </c>
      <c r="K220" t="s">
        <v>18</v>
      </c>
      <c r="L220" t="s">
        <v>17</v>
      </c>
      <c r="M220" t="s">
        <v>19</v>
      </c>
      <c r="O220" s="5">
        <v>75.2</v>
      </c>
      <c r="P220">
        <v>79.2</v>
      </c>
      <c r="Q220">
        <v>79.2</v>
      </c>
      <c r="R220">
        <v>5.7235714285714288</v>
      </c>
      <c r="S220">
        <v>8.1</v>
      </c>
      <c r="T220">
        <v>0.35838189228333733</v>
      </c>
      <c r="U220">
        <v>1.296</v>
      </c>
      <c r="V220">
        <v>74.177485714285723</v>
      </c>
      <c r="W220">
        <v>0.98640273556231006</v>
      </c>
      <c r="X220">
        <v>45.3</v>
      </c>
    </row>
    <row r="221" spans="1:24" x14ac:dyDescent="0.35">
      <c r="A221" t="s">
        <v>26</v>
      </c>
      <c r="B221" t="s">
        <v>29</v>
      </c>
      <c r="C221">
        <v>2025</v>
      </c>
      <c r="D221" t="s">
        <v>10</v>
      </c>
      <c r="E221" t="s">
        <v>11</v>
      </c>
      <c r="F221" t="s">
        <v>21</v>
      </c>
      <c r="G221" t="s">
        <v>15</v>
      </c>
      <c r="H221" t="s">
        <v>15</v>
      </c>
      <c r="I221" t="s">
        <v>15</v>
      </c>
      <c r="K221" t="s">
        <v>18</v>
      </c>
      <c r="L221" t="s">
        <v>17</v>
      </c>
      <c r="M221" t="s">
        <v>18</v>
      </c>
      <c r="O221" s="5">
        <v>10</v>
      </c>
      <c r="P221">
        <v>10</v>
      </c>
      <c r="Q221">
        <v>10</v>
      </c>
      <c r="R221">
        <v>1.4066478076379068</v>
      </c>
      <c r="S221">
        <v>16.2</v>
      </c>
      <c r="U221">
        <v>2.5920000000000001</v>
      </c>
      <c r="V221">
        <v>36.460311173974546</v>
      </c>
      <c r="W221">
        <v>3.6460311173974547</v>
      </c>
      <c r="X221">
        <v>25.85</v>
      </c>
    </row>
    <row r="222" spans="1:24" x14ac:dyDescent="0.35">
      <c r="A222" t="s">
        <v>25</v>
      </c>
      <c r="B222" t="s">
        <v>29</v>
      </c>
      <c r="C222">
        <v>2025</v>
      </c>
      <c r="D222" t="s">
        <v>10</v>
      </c>
      <c r="E222" t="s">
        <v>11</v>
      </c>
      <c r="F222" t="s">
        <v>21</v>
      </c>
      <c r="G222" t="s">
        <v>15</v>
      </c>
      <c r="H222" t="s">
        <v>15</v>
      </c>
      <c r="I222" t="s">
        <v>15</v>
      </c>
      <c r="K222" t="s">
        <v>18</v>
      </c>
      <c r="L222" t="s">
        <v>17</v>
      </c>
      <c r="M222" t="s">
        <v>18</v>
      </c>
      <c r="O222" s="5">
        <v>75.2</v>
      </c>
      <c r="P222">
        <v>79.2</v>
      </c>
      <c r="Q222">
        <v>75.2</v>
      </c>
      <c r="R222">
        <v>2.0169731258840171</v>
      </c>
      <c r="S222">
        <v>18.3</v>
      </c>
      <c r="U222">
        <v>2.9279999999999999</v>
      </c>
      <c r="V222">
        <v>59.056973125884021</v>
      </c>
      <c r="W222">
        <v>0.78533208943994703</v>
      </c>
      <c r="X222">
        <v>28.55</v>
      </c>
    </row>
    <row r="223" spans="1:24" x14ac:dyDescent="0.35">
      <c r="A223" t="s">
        <v>24</v>
      </c>
      <c r="B223" t="s">
        <v>29</v>
      </c>
      <c r="C223">
        <v>2025</v>
      </c>
      <c r="D223" t="s">
        <v>10</v>
      </c>
      <c r="E223" t="s">
        <v>11</v>
      </c>
      <c r="F223" t="s">
        <v>21</v>
      </c>
      <c r="G223" t="s">
        <v>15</v>
      </c>
      <c r="H223" t="s">
        <v>15</v>
      </c>
      <c r="I223" t="s">
        <v>15</v>
      </c>
      <c r="K223" t="s">
        <v>18</v>
      </c>
      <c r="L223" t="s">
        <v>17</v>
      </c>
      <c r="M223" t="s">
        <v>18</v>
      </c>
      <c r="O223" s="5">
        <v>175.2</v>
      </c>
      <c r="P223">
        <v>146.19999999999999</v>
      </c>
      <c r="Q223">
        <v>175.2</v>
      </c>
      <c r="R223">
        <v>2.2263083451202266</v>
      </c>
      <c r="S223">
        <v>20.5</v>
      </c>
      <c r="U223">
        <v>3.28</v>
      </c>
      <c r="V223">
        <v>73.022913719943418</v>
      </c>
      <c r="W223">
        <v>0.41679745273940311</v>
      </c>
      <c r="X223">
        <v>136.89999999999998</v>
      </c>
    </row>
    <row r="224" spans="1:24" x14ac:dyDescent="0.35">
      <c r="A224" t="s">
        <v>24</v>
      </c>
      <c r="B224" t="s">
        <v>31</v>
      </c>
      <c r="C224">
        <v>2025</v>
      </c>
      <c r="D224" t="s">
        <v>10</v>
      </c>
      <c r="E224" t="s">
        <v>11</v>
      </c>
      <c r="F224" t="s">
        <v>11</v>
      </c>
      <c r="G224" t="s">
        <v>15</v>
      </c>
      <c r="H224" t="s">
        <v>15</v>
      </c>
      <c r="I224" t="s">
        <v>15</v>
      </c>
      <c r="K224" t="s">
        <v>17</v>
      </c>
      <c r="L224" t="s">
        <v>19</v>
      </c>
      <c r="M224" t="s">
        <v>20</v>
      </c>
      <c r="O224" s="5">
        <v>146.19999999999999</v>
      </c>
      <c r="P224">
        <v>146.19999999999999</v>
      </c>
      <c r="Q224">
        <v>10</v>
      </c>
      <c r="R224">
        <v>2.661428571428571</v>
      </c>
      <c r="U224">
        <v>0</v>
      </c>
      <c r="V224">
        <v>0</v>
      </c>
      <c r="W224">
        <v>0</v>
      </c>
      <c r="X224">
        <v>79.900000000000006</v>
      </c>
    </row>
    <row r="225" spans="1:24" x14ac:dyDescent="0.35">
      <c r="A225" t="s">
        <v>25</v>
      </c>
      <c r="B225" t="s">
        <v>31</v>
      </c>
      <c r="C225">
        <v>2025</v>
      </c>
      <c r="D225" t="s">
        <v>10</v>
      </c>
      <c r="E225" t="s">
        <v>11</v>
      </c>
      <c r="F225" t="s">
        <v>11</v>
      </c>
      <c r="G225" t="s">
        <v>15</v>
      </c>
      <c r="H225" t="s">
        <v>15</v>
      </c>
      <c r="I225" t="s">
        <v>15</v>
      </c>
      <c r="K225" t="s">
        <v>17</v>
      </c>
      <c r="L225" t="s">
        <v>19</v>
      </c>
      <c r="M225" t="s">
        <v>20</v>
      </c>
      <c r="O225" s="5">
        <v>79.2</v>
      </c>
      <c r="P225">
        <v>79.2</v>
      </c>
      <c r="Q225">
        <v>10</v>
      </c>
      <c r="R225">
        <v>3.0735714285714284</v>
      </c>
      <c r="U225">
        <v>0</v>
      </c>
      <c r="V225">
        <v>0</v>
      </c>
      <c r="W225">
        <v>0</v>
      </c>
      <c r="X225">
        <v>46.75</v>
      </c>
    </row>
    <row r="226" spans="1:24" x14ac:dyDescent="0.35">
      <c r="A226" t="s">
        <v>26</v>
      </c>
      <c r="B226" t="s">
        <v>31</v>
      </c>
      <c r="C226">
        <v>2025</v>
      </c>
      <c r="D226" t="s">
        <v>10</v>
      </c>
      <c r="E226" t="s">
        <v>11</v>
      </c>
      <c r="F226" t="s">
        <v>11</v>
      </c>
      <c r="G226" t="s">
        <v>15</v>
      </c>
      <c r="H226" t="s">
        <v>15</v>
      </c>
      <c r="I226" t="s">
        <v>15</v>
      </c>
      <c r="K226" t="s">
        <v>17</v>
      </c>
      <c r="L226" t="s">
        <v>19</v>
      </c>
      <c r="M226" t="s">
        <v>20</v>
      </c>
      <c r="O226" s="5">
        <v>10</v>
      </c>
      <c r="P226">
        <v>10</v>
      </c>
      <c r="Q226">
        <v>10</v>
      </c>
      <c r="R226">
        <v>3.1185714285714283</v>
      </c>
      <c r="U226">
        <v>0</v>
      </c>
      <c r="V226">
        <v>0</v>
      </c>
      <c r="W226">
        <v>0</v>
      </c>
      <c r="X226">
        <v>84.35</v>
      </c>
    </row>
    <row r="227" spans="1:24" x14ac:dyDescent="0.35">
      <c r="A227" t="s">
        <v>25</v>
      </c>
      <c r="B227" t="s">
        <v>29</v>
      </c>
      <c r="C227">
        <v>2025</v>
      </c>
      <c r="D227" t="s">
        <v>10</v>
      </c>
      <c r="E227" t="s">
        <v>11</v>
      </c>
      <c r="F227" t="s">
        <v>11</v>
      </c>
      <c r="G227" t="s">
        <v>15</v>
      </c>
      <c r="H227" t="s">
        <v>15</v>
      </c>
      <c r="I227" t="s">
        <v>15</v>
      </c>
      <c r="K227" t="s">
        <v>17</v>
      </c>
      <c r="L227" t="s">
        <v>18</v>
      </c>
      <c r="M227" t="s">
        <v>17</v>
      </c>
      <c r="O227" s="5">
        <v>79.2</v>
      </c>
      <c r="P227">
        <v>75.2</v>
      </c>
      <c r="Q227">
        <v>79.2</v>
      </c>
      <c r="R227">
        <v>3.8550420168067232</v>
      </c>
      <c r="S227">
        <v>8.8000000000000007</v>
      </c>
      <c r="T227">
        <v>0.81071447571420963</v>
      </c>
      <c r="U227">
        <v>1.517241379310345</v>
      </c>
      <c r="V227">
        <v>58.490292668791668</v>
      </c>
      <c r="W227">
        <v>0.73851379632312708</v>
      </c>
      <c r="X227">
        <v>120.35</v>
      </c>
    </row>
    <row r="228" spans="1:24" x14ac:dyDescent="0.35">
      <c r="A228" t="s">
        <v>26</v>
      </c>
      <c r="B228" t="s">
        <v>29</v>
      </c>
      <c r="C228">
        <v>2025</v>
      </c>
      <c r="D228" t="s">
        <v>10</v>
      </c>
      <c r="E228" t="s">
        <v>11</v>
      </c>
      <c r="F228" t="s">
        <v>11</v>
      </c>
      <c r="G228" t="s">
        <v>15</v>
      </c>
      <c r="H228" t="s">
        <v>15</v>
      </c>
      <c r="I228" t="s">
        <v>15</v>
      </c>
      <c r="K228" t="s">
        <v>17</v>
      </c>
      <c r="L228" t="s">
        <v>18</v>
      </c>
      <c r="M228" t="s">
        <v>17</v>
      </c>
      <c r="O228" s="5">
        <v>10</v>
      </c>
      <c r="P228">
        <v>10</v>
      </c>
      <c r="Q228">
        <v>10</v>
      </c>
      <c r="R228">
        <v>2.96358543417367</v>
      </c>
      <c r="S228">
        <v>8.1999999999999993</v>
      </c>
      <c r="T228">
        <v>1.1983383042181508</v>
      </c>
      <c r="U228">
        <v>1.4137931034482758</v>
      </c>
      <c r="V228">
        <v>41.898966483144989</v>
      </c>
      <c r="W228">
        <v>4.189896648314499</v>
      </c>
      <c r="X228">
        <v>80.3</v>
      </c>
    </row>
    <row r="229" spans="1:24" x14ac:dyDescent="0.35">
      <c r="A229" t="s">
        <v>24</v>
      </c>
      <c r="B229" t="s">
        <v>29</v>
      </c>
      <c r="C229">
        <v>2025</v>
      </c>
      <c r="D229" t="s">
        <v>10</v>
      </c>
      <c r="E229" t="s">
        <v>11</v>
      </c>
      <c r="F229" t="s">
        <v>11</v>
      </c>
      <c r="G229" t="s">
        <v>15</v>
      </c>
      <c r="H229" t="s">
        <v>15</v>
      </c>
      <c r="I229" t="s">
        <v>15</v>
      </c>
      <c r="K229" t="s">
        <v>17</v>
      </c>
      <c r="L229" t="s">
        <v>18</v>
      </c>
      <c r="M229" t="s">
        <v>17</v>
      </c>
      <c r="O229" s="5">
        <v>146.19999999999999</v>
      </c>
      <c r="P229">
        <v>175.2</v>
      </c>
      <c r="Q229">
        <v>146.19999999999999</v>
      </c>
      <c r="R229">
        <v>4.3879551820728295</v>
      </c>
      <c r="S229">
        <v>9.9</v>
      </c>
      <c r="T229">
        <v>0.7276521091943331</v>
      </c>
      <c r="U229">
        <v>1.7068965517241381</v>
      </c>
      <c r="V229">
        <v>74.897855694001748</v>
      </c>
      <c r="W229">
        <v>0.51229723456909548</v>
      </c>
      <c r="X229">
        <v>90.05</v>
      </c>
    </row>
    <row r="230" spans="1:24" x14ac:dyDescent="0.35">
      <c r="A230" t="s">
        <v>24</v>
      </c>
      <c r="B230" t="s">
        <v>31</v>
      </c>
      <c r="C230">
        <v>2025</v>
      </c>
      <c r="D230" t="s">
        <v>10</v>
      </c>
      <c r="E230" t="s">
        <v>11</v>
      </c>
      <c r="F230" t="s">
        <v>21</v>
      </c>
      <c r="G230" t="s">
        <v>15</v>
      </c>
      <c r="H230" t="s">
        <v>15</v>
      </c>
      <c r="I230" t="s">
        <v>15</v>
      </c>
      <c r="K230" t="s">
        <v>19</v>
      </c>
      <c r="L230" t="s">
        <v>20</v>
      </c>
      <c r="M230" t="s">
        <v>18</v>
      </c>
      <c r="O230" s="5">
        <v>146.19999999999999</v>
      </c>
      <c r="P230">
        <v>10</v>
      </c>
      <c r="Q230">
        <v>175.2</v>
      </c>
      <c r="X230">
        <v>146.15</v>
      </c>
    </row>
    <row r="231" spans="1:24" x14ac:dyDescent="0.35">
      <c r="A231" t="s">
        <v>26</v>
      </c>
      <c r="B231" t="s">
        <v>31</v>
      </c>
      <c r="C231">
        <v>2025</v>
      </c>
      <c r="D231" t="s">
        <v>10</v>
      </c>
      <c r="E231" t="s">
        <v>11</v>
      </c>
      <c r="F231" t="s">
        <v>21</v>
      </c>
      <c r="G231" t="s">
        <v>15</v>
      </c>
      <c r="H231" t="s">
        <v>15</v>
      </c>
      <c r="I231" t="s">
        <v>15</v>
      </c>
      <c r="K231" t="s">
        <v>19</v>
      </c>
      <c r="L231" t="s">
        <v>20</v>
      </c>
      <c r="M231" t="s">
        <v>18</v>
      </c>
      <c r="O231" s="5">
        <v>10</v>
      </c>
      <c r="P231">
        <v>10</v>
      </c>
      <c r="Q231">
        <v>10</v>
      </c>
      <c r="X231">
        <v>71.400000000000006</v>
      </c>
    </row>
    <row r="232" spans="1:24" x14ac:dyDescent="0.35">
      <c r="A232" t="s">
        <v>25</v>
      </c>
      <c r="B232" t="s">
        <v>31</v>
      </c>
      <c r="C232">
        <v>2025</v>
      </c>
      <c r="D232" t="s">
        <v>10</v>
      </c>
      <c r="E232" t="s">
        <v>11</v>
      </c>
      <c r="F232" t="s">
        <v>21</v>
      </c>
      <c r="G232" t="s">
        <v>15</v>
      </c>
      <c r="H232" t="s">
        <v>15</v>
      </c>
      <c r="I232" t="s">
        <v>15</v>
      </c>
      <c r="K232" t="s">
        <v>19</v>
      </c>
      <c r="L232" t="s">
        <v>20</v>
      </c>
      <c r="M232" t="s">
        <v>18</v>
      </c>
      <c r="O232" s="5">
        <v>79.2</v>
      </c>
      <c r="P232">
        <v>10</v>
      </c>
      <c r="Q232">
        <v>75.2</v>
      </c>
      <c r="X232">
        <v>151.65</v>
      </c>
    </row>
    <row r="233" spans="1:24" x14ac:dyDescent="0.35">
      <c r="A233" t="s">
        <v>25</v>
      </c>
      <c r="B233" t="s">
        <v>30</v>
      </c>
      <c r="C233">
        <v>2025</v>
      </c>
      <c r="D233" t="s">
        <v>10</v>
      </c>
      <c r="E233" t="s">
        <v>11</v>
      </c>
      <c r="F233" t="s">
        <v>11</v>
      </c>
      <c r="G233" t="s">
        <v>15</v>
      </c>
      <c r="H233" t="s">
        <v>15</v>
      </c>
      <c r="I233" t="s">
        <v>15</v>
      </c>
      <c r="K233" t="s">
        <v>18</v>
      </c>
      <c r="L233" t="s">
        <v>19</v>
      </c>
      <c r="M233" t="s">
        <v>20</v>
      </c>
      <c r="O233" s="5">
        <v>75.2</v>
      </c>
      <c r="P233">
        <v>79.2</v>
      </c>
      <c r="Q233">
        <v>10</v>
      </c>
      <c r="R233">
        <v>1.0178571428571428</v>
      </c>
      <c r="U233">
        <v>0</v>
      </c>
      <c r="V233">
        <v>0</v>
      </c>
      <c r="W233">
        <v>0</v>
      </c>
      <c r="X233">
        <v>48.1</v>
      </c>
    </row>
    <row r="234" spans="1:24" x14ac:dyDescent="0.35">
      <c r="A234" t="s">
        <v>26</v>
      </c>
      <c r="B234" t="s">
        <v>30</v>
      </c>
      <c r="C234">
        <v>2025</v>
      </c>
      <c r="D234" t="s">
        <v>10</v>
      </c>
      <c r="E234" t="s">
        <v>11</v>
      </c>
      <c r="F234" t="s">
        <v>11</v>
      </c>
      <c r="G234" t="s">
        <v>15</v>
      </c>
      <c r="H234" t="s">
        <v>15</v>
      </c>
      <c r="I234" t="s">
        <v>15</v>
      </c>
      <c r="K234" t="s">
        <v>18</v>
      </c>
      <c r="L234" t="s">
        <v>19</v>
      </c>
      <c r="M234" t="s">
        <v>20</v>
      </c>
      <c r="O234" s="5">
        <v>10</v>
      </c>
      <c r="P234">
        <v>10</v>
      </c>
      <c r="Q234">
        <v>10</v>
      </c>
      <c r="R234">
        <v>1.2635714285714286</v>
      </c>
      <c r="U234">
        <v>0</v>
      </c>
      <c r="V234">
        <v>0</v>
      </c>
      <c r="W234">
        <v>0</v>
      </c>
      <c r="X234">
        <v>24.85</v>
      </c>
    </row>
    <row r="235" spans="1:24" x14ac:dyDescent="0.35">
      <c r="A235" t="s">
        <v>24</v>
      </c>
      <c r="B235" t="s">
        <v>30</v>
      </c>
      <c r="C235">
        <v>2025</v>
      </c>
      <c r="D235" t="s">
        <v>10</v>
      </c>
      <c r="E235" t="s">
        <v>11</v>
      </c>
      <c r="F235" t="s">
        <v>11</v>
      </c>
      <c r="G235" t="s">
        <v>15</v>
      </c>
      <c r="H235" t="s">
        <v>15</v>
      </c>
      <c r="I235" t="s">
        <v>15</v>
      </c>
      <c r="K235" t="s">
        <v>18</v>
      </c>
      <c r="L235" t="s">
        <v>19</v>
      </c>
      <c r="M235" t="s">
        <v>20</v>
      </c>
      <c r="O235" s="5">
        <v>175.2</v>
      </c>
      <c r="P235">
        <v>146.19999999999999</v>
      </c>
      <c r="Q235">
        <v>10</v>
      </c>
      <c r="R235">
        <v>1.2535714285714286</v>
      </c>
      <c r="U235">
        <v>0</v>
      </c>
      <c r="V235">
        <v>0</v>
      </c>
      <c r="W235">
        <v>0</v>
      </c>
      <c r="X235">
        <v>77.95</v>
      </c>
    </row>
    <row r="236" spans="1:24" x14ac:dyDescent="0.35">
      <c r="A236" t="s">
        <v>26</v>
      </c>
      <c r="B236" t="s">
        <v>30</v>
      </c>
      <c r="C236">
        <v>2025</v>
      </c>
      <c r="D236" t="s">
        <v>10</v>
      </c>
      <c r="E236" t="s">
        <v>11</v>
      </c>
      <c r="F236" t="s">
        <v>21</v>
      </c>
      <c r="G236" t="s">
        <v>15</v>
      </c>
      <c r="H236" t="s">
        <v>15</v>
      </c>
      <c r="I236" t="s">
        <v>15</v>
      </c>
      <c r="K236" t="s">
        <v>20</v>
      </c>
      <c r="L236" t="s">
        <v>17</v>
      </c>
      <c r="M236" t="s">
        <v>18</v>
      </c>
      <c r="O236" s="5">
        <v>10</v>
      </c>
      <c r="P236">
        <v>10</v>
      </c>
      <c r="Q236">
        <v>10</v>
      </c>
      <c r="R236">
        <v>1.27</v>
      </c>
      <c r="S236">
        <v>17.8</v>
      </c>
      <c r="U236">
        <v>2.8480000000000003</v>
      </c>
      <c r="V236">
        <v>36.169600000000003</v>
      </c>
      <c r="W236">
        <v>3.6169600000000002</v>
      </c>
      <c r="X236">
        <v>34.6</v>
      </c>
    </row>
    <row r="237" spans="1:24" x14ac:dyDescent="0.35">
      <c r="A237" t="s">
        <v>24</v>
      </c>
      <c r="B237" t="s">
        <v>30</v>
      </c>
      <c r="C237">
        <v>2025</v>
      </c>
      <c r="D237" t="s">
        <v>10</v>
      </c>
      <c r="E237" t="s">
        <v>11</v>
      </c>
      <c r="F237" t="s">
        <v>21</v>
      </c>
      <c r="G237" t="s">
        <v>15</v>
      </c>
      <c r="H237" t="s">
        <v>15</v>
      </c>
      <c r="I237" t="s">
        <v>15</v>
      </c>
      <c r="K237" t="s">
        <v>20</v>
      </c>
      <c r="L237" t="s">
        <v>17</v>
      </c>
      <c r="M237" t="s">
        <v>18</v>
      </c>
      <c r="O237" s="5">
        <v>10</v>
      </c>
      <c r="P237">
        <v>146.19999999999999</v>
      </c>
      <c r="Q237">
        <v>175.2</v>
      </c>
      <c r="R237">
        <v>1.8599999999999999</v>
      </c>
      <c r="S237">
        <v>19.899999999999999</v>
      </c>
      <c r="U237">
        <v>3.1839999999999997</v>
      </c>
      <c r="V237">
        <v>59.222399999999993</v>
      </c>
      <c r="W237">
        <v>5.9222399999999995</v>
      </c>
      <c r="X237">
        <v>69.25</v>
      </c>
    </row>
    <row r="238" spans="1:24" x14ac:dyDescent="0.35">
      <c r="A238" t="s">
        <v>25</v>
      </c>
      <c r="B238" t="s">
        <v>30</v>
      </c>
      <c r="C238">
        <v>2025</v>
      </c>
      <c r="D238" t="s">
        <v>10</v>
      </c>
      <c r="E238" t="s">
        <v>11</v>
      </c>
      <c r="F238" t="s">
        <v>21</v>
      </c>
      <c r="G238" t="s">
        <v>15</v>
      </c>
      <c r="H238" t="s">
        <v>15</v>
      </c>
      <c r="I238" t="s">
        <v>15</v>
      </c>
      <c r="K238" t="s">
        <v>20</v>
      </c>
      <c r="L238" t="s">
        <v>17</v>
      </c>
      <c r="M238" t="s">
        <v>18</v>
      </c>
      <c r="O238" s="5">
        <v>10</v>
      </c>
      <c r="P238">
        <v>79.2</v>
      </c>
      <c r="Q238">
        <v>75.2</v>
      </c>
      <c r="R238">
        <v>1.2814285714285714</v>
      </c>
      <c r="S238">
        <v>19.5</v>
      </c>
      <c r="U238">
        <v>3.12</v>
      </c>
      <c r="V238">
        <v>39.98057142857143</v>
      </c>
      <c r="W238">
        <v>3.9980571428571432</v>
      </c>
      <c r="X238">
        <v>40.450000000000003</v>
      </c>
    </row>
    <row r="239" spans="1:24" x14ac:dyDescent="0.35">
      <c r="A239" t="s">
        <v>25</v>
      </c>
      <c r="B239" t="s">
        <v>30</v>
      </c>
      <c r="C239">
        <v>2025</v>
      </c>
      <c r="D239" t="s">
        <v>10</v>
      </c>
      <c r="E239" t="s">
        <v>11</v>
      </c>
      <c r="F239" t="s">
        <v>11</v>
      </c>
      <c r="G239" t="s">
        <v>15</v>
      </c>
      <c r="H239" t="s">
        <v>15</v>
      </c>
      <c r="I239" t="s">
        <v>15</v>
      </c>
      <c r="K239" t="s">
        <v>17</v>
      </c>
      <c r="L239" t="s">
        <v>18</v>
      </c>
      <c r="M239" t="s">
        <v>19</v>
      </c>
      <c r="O239" s="5">
        <v>79.2</v>
      </c>
      <c r="P239">
        <v>75.2</v>
      </c>
      <c r="Q239">
        <v>79.2</v>
      </c>
      <c r="R239">
        <v>4.2893586005830899</v>
      </c>
      <c r="S239">
        <v>9</v>
      </c>
      <c r="T239">
        <v>0.46682788350331206</v>
      </c>
      <c r="U239">
        <v>1.5517241379310345</v>
      </c>
      <c r="V239">
        <v>66.559012767668634</v>
      </c>
      <c r="W239">
        <v>0.84039157534935138</v>
      </c>
      <c r="X239">
        <v>103.7</v>
      </c>
    </row>
    <row r="240" spans="1:24" x14ac:dyDescent="0.35">
      <c r="A240" t="s">
        <v>24</v>
      </c>
      <c r="B240" t="s">
        <v>30</v>
      </c>
      <c r="C240">
        <v>2025</v>
      </c>
      <c r="D240" t="s">
        <v>10</v>
      </c>
      <c r="E240" t="s">
        <v>11</v>
      </c>
      <c r="F240" t="s">
        <v>11</v>
      </c>
      <c r="G240" t="s">
        <v>15</v>
      </c>
      <c r="H240" t="s">
        <v>15</v>
      </c>
      <c r="I240" t="s">
        <v>15</v>
      </c>
      <c r="K240" t="s">
        <v>17</v>
      </c>
      <c r="L240" t="s">
        <v>18</v>
      </c>
      <c r="M240" t="s">
        <v>19</v>
      </c>
      <c r="O240" s="5">
        <v>146.19999999999999</v>
      </c>
      <c r="P240">
        <v>175.2</v>
      </c>
      <c r="Q240">
        <v>146.19999999999999</v>
      </c>
      <c r="R240">
        <v>4.0174927113702621</v>
      </c>
      <c r="S240">
        <v>10.1</v>
      </c>
      <c r="T240">
        <v>1.5861894615190149</v>
      </c>
      <c r="U240">
        <v>1.7413793103448276</v>
      </c>
      <c r="V240">
        <v>69.959786870413183</v>
      </c>
      <c r="W240">
        <v>0.47852111402471403</v>
      </c>
      <c r="X240">
        <v>67.55</v>
      </c>
    </row>
    <row r="241" spans="1:24" x14ac:dyDescent="0.35">
      <c r="A241" t="s">
        <v>26</v>
      </c>
      <c r="B241" t="s">
        <v>30</v>
      </c>
      <c r="C241">
        <v>2025</v>
      </c>
      <c r="D241" t="s">
        <v>10</v>
      </c>
      <c r="E241" t="s">
        <v>11</v>
      </c>
      <c r="F241" t="s">
        <v>11</v>
      </c>
      <c r="G241" t="s">
        <v>15</v>
      </c>
      <c r="H241" t="s">
        <v>15</v>
      </c>
      <c r="I241" t="s">
        <v>15</v>
      </c>
      <c r="K241" t="s">
        <v>17</v>
      </c>
      <c r="L241" t="s">
        <v>18</v>
      </c>
      <c r="M241" t="s">
        <v>19</v>
      </c>
      <c r="O241" s="5">
        <v>10</v>
      </c>
      <c r="P241">
        <v>10</v>
      </c>
      <c r="Q241">
        <v>10</v>
      </c>
      <c r="R241">
        <v>2.4395043731778423</v>
      </c>
      <c r="S241">
        <v>8.4</v>
      </c>
      <c r="T241">
        <v>1.0401849217638695</v>
      </c>
      <c r="U241">
        <v>1.4482758620689655</v>
      </c>
      <c r="V241">
        <v>35.330752990851508</v>
      </c>
      <c r="W241">
        <v>3.5330752990851506</v>
      </c>
      <c r="X241">
        <v>44.4</v>
      </c>
    </row>
    <row r="242" spans="1:24" x14ac:dyDescent="0.35">
      <c r="A242" t="s">
        <v>26</v>
      </c>
      <c r="B242" t="s">
        <v>31</v>
      </c>
      <c r="C242">
        <v>2025</v>
      </c>
      <c r="D242" t="s">
        <v>10</v>
      </c>
      <c r="E242" t="s">
        <v>11</v>
      </c>
      <c r="F242" t="s">
        <v>21</v>
      </c>
      <c r="G242" t="s">
        <v>15</v>
      </c>
      <c r="H242" t="s">
        <v>15</v>
      </c>
      <c r="I242" t="s">
        <v>15</v>
      </c>
      <c r="K242" t="s">
        <v>19</v>
      </c>
      <c r="L242" t="s">
        <v>20</v>
      </c>
      <c r="M242" t="s">
        <v>18</v>
      </c>
      <c r="O242" s="5">
        <v>10</v>
      </c>
      <c r="P242">
        <v>10</v>
      </c>
      <c r="Q242">
        <v>10</v>
      </c>
      <c r="R242">
        <v>1.3557422969187676</v>
      </c>
      <c r="S242">
        <v>9.1</v>
      </c>
      <c r="U242">
        <v>1.6221033868092689</v>
      </c>
      <c r="V242">
        <v>21.991541714725106</v>
      </c>
      <c r="W242">
        <v>2.1991541714725105</v>
      </c>
      <c r="X242">
        <v>22.799999999999997</v>
      </c>
    </row>
    <row r="243" spans="1:24" x14ac:dyDescent="0.35">
      <c r="A243" t="s">
        <v>25</v>
      </c>
      <c r="B243" t="s">
        <v>31</v>
      </c>
      <c r="C243">
        <v>2025</v>
      </c>
      <c r="D243" t="s">
        <v>10</v>
      </c>
      <c r="E243" t="s">
        <v>11</v>
      </c>
      <c r="F243" t="s">
        <v>21</v>
      </c>
      <c r="G243" t="s">
        <v>15</v>
      </c>
      <c r="H243" t="s">
        <v>15</v>
      </c>
      <c r="I243" t="s">
        <v>15</v>
      </c>
      <c r="K243" t="s">
        <v>19</v>
      </c>
      <c r="L243" t="s">
        <v>20</v>
      </c>
      <c r="M243" t="s">
        <v>18</v>
      </c>
      <c r="O243" s="5">
        <v>79.2</v>
      </c>
      <c r="P243">
        <v>10</v>
      </c>
      <c r="Q243">
        <v>75.2</v>
      </c>
      <c r="R243">
        <v>1.8235294117647063</v>
      </c>
      <c r="S243">
        <v>20.5</v>
      </c>
      <c r="U243">
        <v>3.654188948306595</v>
      </c>
      <c r="V243">
        <v>66.635210233826157</v>
      </c>
      <c r="W243">
        <v>0.84135366456851202</v>
      </c>
      <c r="X243">
        <v>94</v>
      </c>
    </row>
    <row r="244" spans="1:24" x14ac:dyDescent="0.35">
      <c r="A244" t="s">
        <v>24</v>
      </c>
      <c r="B244" t="s">
        <v>31</v>
      </c>
      <c r="C244">
        <v>2025</v>
      </c>
      <c r="D244" t="s">
        <v>10</v>
      </c>
      <c r="E244" t="s">
        <v>11</v>
      </c>
      <c r="F244" t="s">
        <v>21</v>
      </c>
      <c r="G244" t="s">
        <v>15</v>
      </c>
      <c r="H244" t="s">
        <v>15</v>
      </c>
      <c r="I244" t="s">
        <v>15</v>
      </c>
      <c r="K244" t="s">
        <v>19</v>
      </c>
      <c r="L244" t="s">
        <v>20</v>
      </c>
      <c r="M244" t="s">
        <v>18</v>
      </c>
      <c r="O244" s="5">
        <v>146.19999999999999</v>
      </c>
      <c r="P244">
        <v>10</v>
      </c>
      <c r="Q244">
        <v>175.2</v>
      </c>
      <c r="R244">
        <v>2.0630252100840343</v>
      </c>
      <c r="S244">
        <v>21.3</v>
      </c>
      <c r="U244">
        <v>3.7967914438502675</v>
      </c>
      <c r="V244">
        <v>78.328764660944614</v>
      </c>
      <c r="W244">
        <v>0.53576446416514789</v>
      </c>
      <c r="X244">
        <v>99.85</v>
      </c>
    </row>
    <row r="245" spans="1:24" x14ac:dyDescent="0.35">
      <c r="A245" t="s">
        <v>25</v>
      </c>
      <c r="B245" t="s">
        <v>30</v>
      </c>
      <c r="C245">
        <v>2025</v>
      </c>
      <c r="D245" t="s">
        <v>10</v>
      </c>
      <c r="E245" t="s">
        <v>11</v>
      </c>
      <c r="F245" t="s">
        <v>11</v>
      </c>
      <c r="G245" t="s">
        <v>15</v>
      </c>
      <c r="H245" t="s">
        <v>15</v>
      </c>
      <c r="I245" t="s">
        <v>15</v>
      </c>
      <c r="K245" t="s">
        <v>17</v>
      </c>
      <c r="L245" t="s">
        <v>18</v>
      </c>
      <c r="M245" t="s">
        <v>19</v>
      </c>
      <c r="O245" s="5">
        <v>79.2</v>
      </c>
      <c r="P245">
        <v>75.2</v>
      </c>
      <c r="Q245">
        <v>79.2</v>
      </c>
      <c r="R245">
        <v>4.8985714285714286</v>
      </c>
      <c r="S245">
        <v>9.1</v>
      </c>
      <c r="T245">
        <v>0.599820053983805</v>
      </c>
      <c r="U245">
        <v>1.5689655172413792</v>
      </c>
      <c r="V245">
        <v>76.856896551724134</v>
      </c>
      <c r="W245">
        <v>0.97041536050156729</v>
      </c>
      <c r="X245">
        <v>88.25</v>
      </c>
    </row>
    <row r="246" spans="1:24" x14ac:dyDescent="0.35">
      <c r="A246" t="s">
        <v>24</v>
      </c>
      <c r="B246" t="s">
        <v>30</v>
      </c>
      <c r="C246">
        <v>2025</v>
      </c>
      <c r="D246" t="s">
        <v>10</v>
      </c>
      <c r="E246" t="s">
        <v>11</v>
      </c>
      <c r="F246" t="s">
        <v>11</v>
      </c>
      <c r="G246" t="s">
        <v>15</v>
      </c>
      <c r="H246" t="s">
        <v>15</v>
      </c>
      <c r="I246" t="s">
        <v>15</v>
      </c>
      <c r="K246" t="s">
        <v>17</v>
      </c>
      <c r="L246" t="s">
        <v>18</v>
      </c>
      <c r="M246" t="s">
        <v>19</v>
      </c>
      <c r="O246" s="5">
        <v>146.19999999999999</v>
      </c>
      <c r="P246">
        <v>175.2</v>
      </c>
      <c r="Q246">
        <v>146.19999999999999</v>
      </c>
      <c r="R246">
        <v>5.3664285714285711</v>
      </c>
      <c r="S246">
        <v>11</v>
      </c>
      <c r="T246">
        <v>0.54113549743724532</v>
      </c>
      <c r="U246">
        <v>1.896551724137931</v>
      </c>
      <c r="V246">
        <v>101.77709359605912</v>
      </c>
      <c r="W246">
        <v>0.69614975099903642</v>
      </c>
      <c r="X246">
        <v>97.2</v>
      </c>
    </row>
    <row r="247" spans="1:24" x14ac:dyDescent="0.35">
      <c r="A247" t="s">
        <v>26</v>
      </c>
      <c r="B247" t="s">
        <v>30</v>
      </c>
      <c r="C247">
        <v>2025</v>
      </c>
      <c r="D247" t="s">
        <v>10</v>
      </c>
      <c r="E247" t="s">
        <v>11</v>
      </c>
      <c r="F247" t="s">
        <v>11</v>
      </c>
      <c r="G247" t="s">
        <v>15</v>
      </c>
      <c r="H247" t="s">
        <v>15</v>
      </c>
      <c r="I247" t="s">
        <v>15</v>
      </c>
      <c r="K247" t="s">
        <v>17</v>
      </c>
      <c r="L247" t="s">
        <v>18</v>
      </c>
      <c r="M247" t="s">
        <v>19</v>
      </c>
      <c r="O247" s="5">
        <v>10</v>
      </c>
      <c r="P247">
        <v>10</v>
      </c>
      <c r="Q247">
        <v>10</v>
      </c>
      <c r="R247">
        <v>4.177142857142857</v>
      </c>
      <c r="S247">
        <v>9.1999999999999993</v>
      </c>
      <c r="T247">
        <v>0.35973523486713777</v>
      </c>
      <c r="U247">
        <v>1.586206896551724</v>
      </c>
      <c r="V247">
        <v>66.258128078817734</v>
      </c>
      <c r="W247">
        <v>6.6258128078817737</v>
      </c>
      <c r="X247">
        <v>56.849999999999994</v>
      </c>
    </row>
    <row r="248" spans="1:24" x14ac:dyDescent="0.35">
      <c r="A248" t="s">
        <v>24</v>
      </c>
      <c r="B248" t="s">
        <v>29</v>
      </c>
      <c r="C248">
        <v>2025</v>
      </c>
      <c r="D248" t="s">
        <v>10</v>
      </c>
      <c r="E248" t="s">
        <v>11</v>
      </c>
      <c r="F248" t="s">
        <v>11</v>
      </c>
      <c r="G248" t="s">
        <v>15</v>
      </c>
      <c r="H248" t="s">
        <v>15</v>
      </c>
      <c r="I248" t="s">
        <v>15</v>
      </c>
      <c r="K248" t="s">
        <v>17</v>
      </c>
      <c r="L248" t="s">
        <v>18</v>
      </c>
      <c r="M248" t="s">
        <v>17</v>
      </c>
      <c r="O248" s="5">
        <v>146.19999999999999</v>
      </c>
      <c r="P248">
        <v>175.2</v>
      </c>
      <c r="Q248">
        <v>146.19999999999999</v>
      </c>
      <c r="R248">
        <v>3.862857142857143</v>
      </c>
      <c r="S248">
        <v>10.3</v>
      </c>
      <c r="T248">
        <v>2.5510500901739483</v>
      </c>
      <c r="U248">
        <v>1.7758620689655173</v>
      </c>
      <c r="V248">
        <v>68.599014778325127</v>
      </c>
      <c r="W248">
        <v>0.4692135073756849</v>
      </c>
      <c r="X248">
        <v>90.25</v>
      </c>
    </row>
    <row r="249" spans="1:24" x14ac:dyDescent="0.35">
      <c r="A249" t="s">
        <v>26</v>
      </c>
      <c r="B249" t="s">
        <v>29</v>
      </c>
      <c r="C249">
        <v>2025</v>
      </c>
      <c r="D249" t="s">
        <v>10</v>
      </c>
      <c r="E249" t="s">
        <v>11</v>
      </c>
      <c r="F249" t="s">
        <v>11</v>
      </c>
      <c r="G249" t="s">
        <v>15</v>
      </c>
      <c r="H249" t="s">
        <v>15</v>
      </c>
      <c r="I249" t="s">
        <v>15</v>
      </c>
      <c r="K249" t="s">
        <v>17</v>
      </c>
      <c r="L249" t="s">
        <v>18</v>
      </c>
      <c r="M249" t="s">
        <v>17</v>
      </c>
      <c r="O249" s="5">
        <v>10</v>
      </c>
      <c r="P249">
        <v>10</v>
      </c>
      <c r="Q249">
        <v>10</v>
      </c>
      <c r="R249">
        <v>2.6507142857142858</v>
      </c>
      <c r="S249">
        <v>8.3000000000000007</v>
      </c>
      <c r="T249">
        <v>1.3099768231552849</v>
      </c>
      <c r="U249">
        <v>1.4310344827586208</v>
      </c>
      <c r="V249">
        <v>37.932635467980298</v>
      </c>
      <c r="W249">
        <v>3.7932635467980296</v>
      </c>
      <c r="X249">
        <v>25.85</v>
      </c>
    </row>
    <row r="250" spans="1:24" x14ac:dyDescent="0.35">
      <c r="A250" t="s">
        <v>25</v>
      </c>
      <c r="B250" t="s">
        <v>29</v>
      </c>
      <c r="C250">
        <v>2025</v>
      </c>
      <c r="D250" t="s">
        <v>10</v>
      </c>
      <c r="E250" t="s">
        <v>11</v>
      </c>
      <c r="F250" t="s">
        <v>11</v>
      </c>
      <c r="G250" t="s">
        <v>15</v>
      </c>
      <c r="H250" t="s">
        <v>15</v>
      </c>
      <c r="I250" t="s">
        <v>15</v>
      </c>
      <c r="K250" t="s">
        <v>17</v>
      </c>
      <c r="L250" t="s">
        <v>18</v>
      </c>
      <c r="M250" t="s">
        <v>17</v>
      </c>
      <c r="O250" s="5">
        <v>79.2</v>
      </c>
      <c r="P250">
        <v>75.2</v>
      </c>
      <c r="Q250">
        <v>79.2</v>
      </c>
      <c r="R250">
        <v>3.3671428571428574</v>
      </c>
      <c r="S250">
        <v>9.1</v>
      </c>
      <c r="T250">
        <v>1.0361324769381228</v>
      </c>
      <c r="U250">
        <v>1.5689655172413792</v>
      </c>
      <c r="V250">
        <v>52.829310344827583</v>
      </c>
      <c r="W250">
        <v>0.66703674677812608</v>
      </c>
      <c r="X250">
        <v>17.95</v>
      </c>
    </row>
    <row r="251" spans="1:24" x14ac:dyDescent="0.35">
      <c r="A251" t="s">
        <v>26</v>
      </c>
      <c r="B251" t="s">
        <v>30</v>
      </c>
      <c r="C251">
        <v>2025</v>
      </c>
      <c r="D251" t="s">
        <v>10</v>
      </c>
      <c r="E251" t="s">
        <v>11</v>
      </c>
      <c r="F251" t="s">
        <v>21</v>
      </c>
      <c r="G251" t="s">
        <v>15</v>
      </c>
      <c r="H251" t="s">
        <v>15</v>
      </c>
      <c r="I251" t="s">
        <v>15</v>
      </c>
      <c r="K251" t="s">
        <v>20</v>
      </c>
      <c r="L251" t="s">
        <v>17</v>
      </c>
      <c r="M251" t="s">
        <v>18</v>
      </c>
      <c r="O251" s="5">
        <v>10</v>
      </c>
      <c r="P251">
        <v>10</v>
      </c>
      <c r="Q251">
        <v>10</v>
      </c>
      <c r="R251">
        <v>1.4328571428571426</v>
      </c>
      <c r="S251">
        <v>16.7</v>
      </c>
      <c r="U251">
        <v>2.6719999999999997</v>
      </c>
      <c r="V251">
        <v>38.285942857142842</v>
      </c>
      <c r="W251">
        <v>3.8285942857142841</v>
      </c>
      <c r="X251">
        <v>94.05</v>
      </c>
    </row>
    <row r="252" spans="1:24" x14ac:dyDescent="0.35">
      <c r="A252" t="s">
        <v>24</v>
      </c>
      <c r="B252" t="s">
        <v>30</v>
      </c>
      <c r="C252">
        <v>2025</v>
      </c>
      <c r="D252" t="s">
        <v>10</v>
      </c>
      <c r="E252" t="s">
        <v>11</v>
      </c>
      <c r="F252" t="s">
        <v>21</v>
      </c>
      <c r="G252" t="s">
        <v>15</v>
      </c>
      <c r="H252" t="s">
        <v>15</v>
      </c>
      <c r="I252" t="s">
        <v>15</v>
      </c>
      <c r="K252" t="s">
        <v>20</v>
      </c>
      <c r="L252" t="s">
        <v>17</v>
      </c>
      <c r="M252" t="s">
        <v>18</v>
      </c>
      <c r="O252" s="5">
        <v>10</v>
      </c>
      <c r="P252">
        <v>146.19999999999999</v>
      </c>
      <c r="Q252">
        <v>175.2</v>
      </c>
      <c r="R252">
        <v>2.9735714285714288</v>
      </c>
      <c r="S252">
        <v>19.5</v>
      </c>
      <c r="U252">
        <v>3.12</v>
      </c>
      <c r="V252">
        <v>92.775428571428591</v>
      </c>
      <c r="W252">
        <v>9.2775428571428584</v>
      </c>
      <c r="X252">
        <v>205.35</v>
      </c>
    </row>
    <row r="253" spans="1:24" x14ac:dyDescent="0.35">
      <c r="A253" t="s">
        <v>25</v>
      </c>
      <c r="B253" t="s">
        <v>30</v>
      </c>
      <c r="C253">
        <v>2025</v>
      </c>
      <c r="D253" t="s">
        <v>10</v>
      </c>
      <c r="E253" t="s">
        <v>11</v>
      </c>
      <c r="F253" t="s">
        <v>21</v>
      </c>
      <c r="G253" t="s">
        <v>15</v>
      </c>
      <c r="H253" t="s">
        <v>15</v>
      </c>
      <c r="I253" t="s">
        <v>15</v>
      </c>
      <c r="K253" t="s">
        <v>20</v>
      </c>
      <c r="L253" t="s">
        <v>17</v>
      </c>
      <c r="M253" t="s">
        <v>18</v>
      </c>
      <c r="O253" s="5">
        <v>10</v>
      </c>
      <c r="P253">
        <v>79.2</v>
      </c>
      <c r="Q253">
        <v>75.2</v>
      </c>
      <c r="R253">
        <v>2.37</v>
      </c>
      <c r="S253">
        <v>18.5</v>
      </c>
      <c r="U253">
        <v>2.96</v>
      </c>
      <c r="V253">
        <v>70.152000000000001</v>
      </c>
      <c r="W253">
        <v>7.0152000000000001</v>
      </c>
      <c r="X253">
        <v>37.299999999999997</v>
      </c>
    </row>
    <row r="254" spans="1:24" x14ac:dyDescent="0.35">
      <c r="A254" t="s">
        <v>24</v>
      </c>
      <c r="B254" t="s">
        <v>31</v>
      </c>
      <c r="C254">
        <v>2025</v>
      </c>
      <c r="D254" t="s">
        <v>10</v>
      </c>
      <c r="E254" t="s">
        <v>11</v>
      </c>
      <c r="F254" t="s">
        <v>11</v>
      </c>
      <c r="G254" t="s">
        <v>15</v>
      </c>
      <c r="H254" t="s">
        <v>15</v>
      </c>
      <c r="I254" t="s">
        <v>15</v>
      </c>
      <c r="K254" t="s">
        <v>18</v>
      </c>
      <c r="L254" t="s">
        <v>19</v>
      </c>
      <c r="M254" t="s">
        <v>17</v>
      </c>
      <c r="O254" s="5">
        <v>175.2</v>
      </c>
      <c r="P254">
        <v>146.19999999999999</v>
      </c>
      <c r="Q254">
        <v>146.19999999999999</v>
      </c>
      <c r="R254">
        <v>3.9071428571428566</v>
      </c>
      <c r="S254">
        <v>10.3</v>
      </c>
      <c r="T254">
        <v>1.6082191780821917</v>
      </c>
      <c r="U254">
        <v>1.6480000000000001</v>
      </c>
      <c r="V254">
        <v>64.389714285714291</v>
      </c>
      <c r="W254">
        <v>0.36752120026092633</v>
      </c>
      <c r="X254">
        <v>86.449999999999989</v>
      </c>
    </row>
    <row r="255" spans="1:24" x14ac:dyDescent="0.35">
      <c r="A255" t="s">
        <v>25</v>
      </c>
      <c r="B255" t="s">
        <v>31</v>
      </c>
      <c r="C255">
        <v>2025</v>
      </c>
      <c r="D255" t="s">
        <v>10</v>
      </c>
      <c r="E255" t="s">
        <v>11</v>
      </c>
      <c r="F255" t="s">
        <v>11</v>
      </c>
      <c r="G255" t="s">
        <v>15</v>
      </c>
      <c r="H255" t="s">
        <v>15</v>
      </c>
      <c r="I255" t="s">
        <v>15</v>
      </c>
      <c r="K255" t="s">
        <v>18</v>
      </c>
      <c r="L255" t="s">
        <v>19</v>
      </c>
      <c r="M255" t="s">
        <v>17</v>
      </c>
      <c r="O255" s="5">
        <v>75.2</v>
      </c>
      <c r="P255">
        <v>79.2</v>
      </c>
      <c r="Q255">
        <v>79.2</v>
      </c>
      <c r="R255">
        <v>3.6928571428571426</v>
      </c>
      <c r="S255">
        <v>9.5</v>
      </c>
      <c r="T255">
        <v>0.96538866823376823</v>
      </c>
      <c r="U255">
        <v>1.52</v>
      </c>
      <c r="V255">
        <v>56.131428571428572</v>
      </c>
      <c r="W255">
        <v>0.74642857142857144</v>
      </c>
      <c r="X255">
        <v>37.599999999999994</v>
      </c>
    </row>
    <row r="256" spans="1:24" x14ac:dyDescent="0.35">
      <c r="A256" t="s">
        <v>26</v>
      </c>
      <c r="B256" t="s">
        <v>31</v>
      </c>
      <c r="C256">
        <v>2025</v>
      </c>
      <c r="D256" t="s">
        <v>10</v>
      </c>
      <c r="E256" t="s">
        <v>11</v>
      </c>
      <c r="F256" t="s">
        <v>11</v>
      </c>
      <c r="G256" t="s">
        <v>15</v>
      </c>
      <c r="H256" t="s">
        <v>15</v>
      </c>
      <c r="I256" t="s">
        <v>15</v>
      </c>
      <c r="K256" t="s">
        <v>18</v>
      </c>
      <c r="L256" t="s">
        <v>19</v>
      </c>
      <c r="M256" t="s">
        <v>17</v>
      </c>
      <c r="O256" s="5">
        <v>10</v>
      </c>
      <c r="P256">
        <v>10</v>
      </c>
      <c r="Q256">
        <v>10</v>
      </c>
      <c r="R256">
        <v>1.9728571428571429</v>
      </c>
      <c r="S256">
        <v>8.5</v>
      </c>
      <c r="T256">
        <v>0.93378607809847192</v>
      </c>
      <c r="U256">
        <v>1.36</v>
      </c>
      <c r="V256">
        <v>26.830857142857141</v>
      </c>
      <c r="W256">
        <v>2.6830857142857143</v>
      </c>
      <c r="X256">
        <v>39.9</v>
      </c>
    </row>
    <row r="257" spans="1:24" x14ac:dyDescent="0.35">
      <c r="A257" t="s">
        <v>24</v>
      </c>
      <c r="B257" t="s">
        <v>31</v>
      </c>
      <c r="C257">
        <v>2025</v>
      </c>
      <c r="D257" t="s">
        <v>10</v>
      </c>
      <c r="E257" t="s">
        <v>11</v>
      </c>
      <c r="F257" t="s">
        <v>11</v>
      </c>
      <c r="G257" t="s">
        <v>15</v>
      </c>
      <c r="H257" t="s">
        <v>15</v>
      </c>
      <c r="I257" t="s">
        <v>15</v>
      </c>
      <c r="K257" t="s">
        <v>18</v>
      </c>
      <c r="L257" t="s">
        <v>17</v>
      </c>
      <c r="M257" t="s">
        <v>19</v>
      </c>
      <c r="O257" s="5">
        <v>175.2</v>
      </c>
      <c r="P257">
        <v>146.19999999999999</v>
      </c>
      <c r="Q257">
        <v>146.19999999999999</v>
      </c>
      <c r="R257">
        <v>5.3764285714285718</v>
      </c>
      <c r="S257">
        <v>10.199999999999999</v>
      </c>
      <c r="T257">
        <v>0.45005961054444299</v>
      </c>
      <c r="U257">
        <v>1.6319999999999999</v>
      </c>
      <c r="V257">
        <v>87.743314285714291</v>
      </c>
      <c r="W257">
        <v>0.50081800391389442</v>
      </c>
      <c r="X257">
        <v>72.150000000000006</v>
      </c>
    </row>
    <row r="258" spans="1:24" x14ac:dyDescent="0.35">
      <c r="A258" t="s">
        <v>26</v>
      </c>
      <c r="B258" t="s">
        <v>31</v>
      </c>
      <c r="C258">
        <v>2025</v>
      </c>
      <c r="D258" t="s">
        <v>10</v>
      </c>
      <c r="E258" t="s">
        <v>11</v>
      </c>
      <c r="F258" t="s">
        <v>11</v>
      </c>
      <c r="G258" t="s">
        <v>15</v>
      </c>
      <c r="H258" t="s">
        <v>15</v>
      </c>
      <c r="I258" t="s">
        <v>15</v>
      </c>
      <c r="K258" t="s">
        <v>18</v>
      </c>
      <c r="L258" t="s">
        <v>17</v>
      </c>
      <c r="M258" t="s">
        <v>19</v>
      </c>
      <c r="O258" s="5">
        <v>10</v>
      </c>
      <c r="P258">
        <v>10</v>
      </c>
      <c r="Q258">
        <v>10</v>
      </c>
      <c r="R258">
        <v>3.1678571428571427</v>
      </c>
      <c r="S258">
        <v>8</v>
      </c>
      <c r="T258">
        <v>1.0120264790489724</v>
      </c>
      <c r="U258">
        <v>1.28</v>
      </c>
      <c r="V258">
        <v>40.548571428571435</v>
      </c>
      <c r="W258">
        <v>4.0548571428571432</v>
      </c>
      <c r="X258">
        <v>34.799999999999997</v>
      </c>
    </row>
    <row r="259" spans="1:24" x14ac:dyDescent="0.35">
      <c r="A259" t="s">
        <v>25</v>
      </c>
      <c r="B259" t="s">
        <v>31</v>
      </c>
      <c r="C259">
        <v>2025</v>
      </c>
      <c r="D259" t="s">
        <v>10</v>
      </c>
      <c r="E259" t="s">
        <v>11</v>
      </c>
      <c r="F259" t="s">
        <v>11</v>
      </c>
      <c r="G259" t="s">
        <v>15</v>
      </c>
      <c r="H259" t="s">
        <v>15</v>
      </c>
      <c r="I259" t="s">
        <v>15</v>
      </c>
      <c r="K259" t="s">
        <v>18</v>
      </c>
      <c r="L259" t="s">
        <v>17</v>
      </c>
      <c r="M259" t="s">
        <v>19</v>
      </c>
      <c r="O259" s="5">
        <v>75.2</v>
      </c>
      <c r="P259">
        <v>79.2</v>
      </c>
      <c r="Q259">
        <v>79.2</v>
      </c>
      <c r="R259">
        <v>4.7571428571428571</v>
      </c>
      <c r="S259">
        <v>9.1999999999999993</v>
      </c>
      <c r="T259">
        <v>0.52532833020637903</v>
      </c>
      <c r="U259">
        <v>1.472</v>
      </c>
      <c r="V259">
        <v>70.025142857142853</v>
      </c>
      <c r="W259">
        <v>0.93118541033434643</v>
      </c>
      <c r="X259">
        <v>81.400000000000006</v>
      </c>
    </row>
    <row r="260" spans="1:24" x14ac:dyDescent="0.35">
      <c r="A260" t="s">
        <v>26</v>
      </c>
      <c r="B260" t="s">
        <v>30</v>
      </c>
      <c r="C260">
        <v>2025</v>
      </c>
      <c r="D260" t="s">
        <v>10</v>
      </c>
      <c r="E260" t="s">
        <v>11</v>
      </c>
      <c r="F260" t="s">
        <v>11</v>
      </c>
      <c r="G260" t="s">
        <v>15</v>
      </c>
      <c r="H260" t="s">
        <v>15</v>
      </c>
      <c r="I260" t="s">
        <v>15</v>
      </c>
      <c r="K260" t="s">
        <v>19</v>
      </c>
      <c r="L260" t="s">
        <v>20</v>
      </c>
      <c r="M260" t="s">
        <v>17</v>
      </c>
      <c r="O260" s="5">
        <v>10</v>
      </c>
      <c r="P260">
        <v>10</v>
      </c>
      <c r="Q260">
        <v>10</v>
      </c>
      <c r="R260">
        <v>1.357142857142857</v>
      </c>
      <c r="S260">
        <v>9.6999999999999993</v>
      </c>
      <c r="T260">
        <v>1.4778598811045058</v>
      </c>
      <c r="U260">
        <v>1.7290552584670229</v>
      </c>
      <c r="V260">
        <v>23.465749936338163</v>
      </c>
      <c r="W260">
        <v>2.3465749936338165</v>
      </c>
      <c r="X260">
        <v>60.6</v>
      </c>
    </row>
    <row r="261" spans="1:24" x14ac:dyDescent="0.35">
      <c r="A261" t="s">
        <v>25</v>
      </c>
      <c r="B261" t="s">
        <v>30</v>
      </c>
      <c r="C261">
        <v>2025</v>
      </c>
      <c r="D261" t="s">
        <v>10</v>
      </c>
      <c r="E261" t="s">
        <v>11</v>
      </c>
      <c r="F261" t="s">
        <v>11</v>
      </c>
      <c r="G261" t="s">
        <v>15</v>
      </c>
      <c r="H261" t="s">
        <v>15</v>
      </c>
      <c r="I261" t="s">
        <v>15</v>
      </c>
      <c r="K261" t="s">
        <v>19</v>
      </c>
      <c r="L261" t="s">
        <v>20</v>
      </c>
      <c r="M261" t="s">
        <v>17</v>
      </c>
      <c r="O261" s="5">
        <v>79.2</v>
      </c>
      <c r="P261">
        <v>10</v>
      </c>
      <c r="Q261">
        <v>79.2</v>
      </c>
      <c r="R261">
        <v>1.6578571428571429</v>
      </c>
      <c r="S261">
        <v>9.5</v>
      </c>
      <c r="T261">
        <v>3.3714053803339521</v>
      </c>
      <c r="U261">
        <v>1.6934046345811051</v>
      </c>
      <c r="V261">
        <v>28.074229691876752</v>
      </c>
      <c r="W261">
        <v>0.35447259711965595</v>
      </c>
      <c r="X261">
        <v>121.1</v>
      </c>
    </row>
    <row r="262" spans="1:24" x14ac:dyDescent="0.35">
      <c r="A262" t="s">
        <v>24</v>
      </c>
      <c r="B262" t="s">
        <v>30</v>
      </c>
      <c r="C262">
        <v>2025</v>
      </c>
      <c r="D262" t="s">
        <v>10</v>
      </c>
      <c r="E262" t="s">
        <v>11</v>
      </c>
      <c r="F262" t="s">
        <v>11</v>
      </c>
      <c r="G262" t="s">
        <v>15</v>
      </c>
      <c r="H262" t="s">
        <v>15</v>
      </c>
      <c r="I262" t="s">
        <v>15</v>
      </c>
      <c r="K262" t="s">
        <v>19</v>
      </c>
      <c r="L262" t="s">
        <v>20</v>
      </c>
      <c r="M262" t="s">
        <v>17</v>
      </c>
      <c r="O262" s="5">
        <v>146.19999999999999</v>
      </c>
      <c r="P262">
        <v>10</v>
      </c>
      <c r="Q262">
        <v>146.19999999999999</v>
      </c>
      <c r="R262">
        <v>2.092857142857143</v>
      </c>
      <c r="S262">
        <v>10.199999999999999</v>
      </c>
      <c r="T262">
        <v>2.8406702300162157</v>
      </c>
      <c r="U262">
        <v>1.8181818181818179</v>
      </c>
      <c r="V262">
        <v>38.051948051948045</v>
      </c>
      <c r="W262">
        <v>0.26027324248938472</v>
      </c>
      <c r="X262">
        <v>53.85</v>
      </c>
    </row>
    <row r="263" spans="1:24" x14ac:dyDescent="0.35">
      <c r="A263" t="s">
        <v>25</v>
      </c>
      <c r="B263" t="s">
        <v>29</v>
      </c>
      <c r="C263">
        <v>2025</v>
      </c>
      <c r="D263" t="s">
        <v>10</v>
      </c>
      <c r="E263" t="s">
        <v>11</v>
      </c>
      <c r="F263" t="s">
        <v>21</v>
      </c>
      <c r="G263" t="s">
        <v>15</v>
      </c>
      <c r="H263" t="s">
        <v>15</v>
      </c>
      <c r="I263" t="s">
        <v>15</v>
      </c>
      <c r="K263" t="s">
        <v>18</v>
      </c>
      <c r="L263" t="s">
        <v>17</v>
      </c>
      <c r="M263" t="s">
        <v>18</v>
      </c>
      <c r="O263" s="5">
        <v>75.2</v>
      </c>
      <c r="P263">
        <v>79.2</v>
      </c>
      <c r="Q263">
        <v>75.2</v>
      </c>
      <c r="X263">
        <v>67.900000000000006</v>
      </c>
    </row>
    <row r="264" spans="1:24" x14ac:dyDescent="0.35">
      <c r="A264" t="s">
        <v>24</v>
      </c>
      <c r="B264" t="s">
        <v>29</v>
      </c>
      <c r="C264">
        <v>2025</v>
      </c>
      <c r="D264" t="s">
        <v>10</v>
      </c>
      <c r="E264" t="s">
        <v>11</v>
      </c>
      <c r="F264" t="s">
        <v>21</v>
      </c>
      <c r="G264" t="s">
        <v>15</v>
      </c>
      <c r="H264" t="s">
        <v>15</v>
      </c>
      <c r="I264" t="s">
        <v>15</v>
      </c>
      <c r="K264" t="s">
        <v>18</v>
      </c>
      <c r="L264" t="s">
        <v>17</v>
      </c>
      <c r="M264" t="s">
        <v>18</v>
      </c>
      <c r="O264" s="5">
        <v>175.2</v>
      </c>
      <c r="P264">
        <v>146.19999999999999</v>
      </c>
      <c r="Q264">
        <v>175.2</v>
      </c>
      <c r="X264">
        <v>100.05</v>
      </c>
    </row>
    <row r="265" spans="1:24" x14ac:dyDescent="0.35">
      <c r="A265" t="s">
        <v>26</v>
      </c>
      <c r="B265" t="s">
        <v>29</v>
      </c>
      <c r="C265">
        <v>2025</v>
      </c>
      <c r="D265" t="s">
        <v>10</v>
      </c>
      <c r="E265" t="s">
        <v>11</v>
      </c>
      <c r="F265" t="s">
        <v>21</v>
      </c>
      <c r="G265" t="s">
        <v>15</v>
      </c>
      <c r="H265" t="s">
        <v>15</v>
      </c>
      <c r="I265" t="s">
        <v>15</v>
      </c>
      <c r="K265" t="s">
        <v>18</v>
      </c>
      <c r="L265" t="s">
        <v>17</v>
      </c>
      <c r="M265" t="s">
        <v>18</v>
      </c>
      <c r="O265" s="5">
        <v>10</v>
      </c>
      <c r="P265">
        <v>10</v>
      </c>
      <c r="Q265">
        <v>10</v>
      </c>
      <c r="X265">
        <v>39.9</v>
      </c>
    </row>
    <row r="266" spans="1:24" x14ac:dyDescent="0.35">
      <c r="A266" t="s">
        <v>24</v>
      </c>
      <c r="B266" t="s">
        <v>31</v>
      </c>
      <c r="C266">
        <v>2025</v>
      </c>
      <c r="D266" t="s">
        <v>10</v>
      </c>
      <c r="E266" t="s">
        <v>11</v>
      </c>
      <c r="F266" t="s">
        <v>11</v>
      </c>
      <c r="G266" t="s">
        <v>15</v>
      </c>
      <c r="H266" t="s">
        <v>15</v>
      </c>
      <c r="I266" t="s">
        <v>15</v>
      </c>
      <c r="K266" t="s">
        <v>17</v>
      </c>
      <c r="L266" t="s">
        <v>19</v>
      </c>
      <c r="M266" t="s">
        <v>20</v>
      </c>
      <c r="O266" s="5">
        <v>146.19999999999999</v>
      </c>
      <c r="P266">
        <v>146.19999999999999</v>
      </c>
      <c r="Q266">
        <v>10</v>
      </c>
      <c r="R266">
        <v>2.0807142857142855</v>
      </c>
      <c r="U266">
        <v>0</v>
      </c>
      <c r="V266">
        <v>0</v>
      </c>
      <c r="W266">
        <v>0</v>
      </c>
      <c r="X266">
        <v>62</v>
      </c>
    </row>
    <row r="267" spans="1:24" x14ac:dyDescent="0.35">
      <c r="A267" t="s">
        <v>25</v>
      </c>
      <c r="B267" t="s">
        <v>31</v>
      </c>
      <c r="C267">
        <v>2025</v>
      </c>
      <c r="D267" t="s">
        <v>10</v>
      </c>
      <c r="E267" t="s">
        <v>11</v>
      </c>
      <c r="F267" t="s">
        <v>11</v>
      </c>
      <c r="G267" t="s">
        <v>15</v>
      </c>
      <c r="H267" t="s">
        <v>15</v>
      </c>
      <c r="I267" t="s">
        <v>15</v>
      </c>
      <c r="K267" t="s">
        <v>17</v>
      </c>
      <c r="L267" t="s">
        <v>19</v>
      </c>
      <c r="M267" t="s">
        <v>20</v>
      </c>
      <c r="O267" s="5">
        <v>79.2</v>
      </c>
      <c r="P267">
        <v>79.2</v>
      </c>
      <c r="Q267">
        <v>10</v>
      </c>
      <c r="R267">
        <v>2.6428571428571428</v>
      </c>
      <c r="U267">
        <v>0</v>
      </c>
      <c r="V267">
        <v>0</v>
      </c>
      <c r="W267">
        <v>0</v>
      </c>
      <c r="X267">
        <v>49.65</v>
      </c>
    </row>
    <row r="268" spans="1:24" x14ac:dyDescent="0.35">
      <c r="A268" t="s">
        <v>26</v>
      </c>
      <c r="B268" t="s">
        <v>31</v>
      </c>
      <c r="C268">
        <v>2025</v>
      </c>
      <c r="D268" t="s">
        <v>10</v>
      </c>
      <c r="E268" t="s">
        <v>11</v>
      </c>
      <c r="F268" t="s">
        <v>11</v>
      </c>
      <c r="G268" t="s">
        <v>15</v>
      </c>
      <c r="H268" t="s">
        <v>15</v>
      </c>
      <c r="I268" t="s">
        <v>15</v>
      </c>
      <c r="K268" t="s">
        <v>17</v>
      </c>
      <c r="L268" t="s">
        <v>19</v>
      </c>
      <c r="M268" t="s">
        <v>20</v>
      </c>
      <c r="O268" s="5">
        <v>10</v>
      </c>
      <c r="P268">
        <v>10</v>
      </c>
      <c r="Q268">
        <v>10</v>
      </c>
      <c r="R268">
        <v>2.2164285714285716</v>
      </c>
      <c r="U268">
        <v>0</v>
      </c>
      <c r="V268">
        <v>0</v>
      </c>
      <c r="W268">
        <v>0</v>
      </c>
      <c r="X268">
        <v>31.25</v>
      </c>
    </row>
    <row r="269" spans="1:24" x14ac:dyDescent="0.35">
      <c r="A269" t="s">
        <v>25</v>
      </c>
      <c r="B269" t="s">
        <v>31</v>
      </c>
      <c r="C269">
        <v>2025</v>
      </c>
      <c r="D269" t="s">
        <v>10</v>
      </c>
      <c r="E269" t="s">
        <v>11</v>
      </c>
      <c r="F269" t="s">
        <v>11</v>
      </c>
      <c r="G269" t="s">
        <v>15</v>
      </c>
      <c r="H269" t="s">
        <v>15</v>
      </c>
      <c r="I269" t="s">
        <v>15</v>
      </c>
      <c r="K269" t="s">
        <v>20</v>
      </c>
      <c r="L269" t="s">
        <v>18</v>
      </c>
      <c r="M269" t="s">
        <v>17</v>
      </c>
      <c r="O269" s="5">
        <v>10</v>
      </c>
      <c r="P269">
        <v>75.2</v>
      </c>
      <c r="Q269">
        <v>79.2</v>
      </c>
      <c r="R269">
        <v>3.2208454810495626</v>
      </c>
      <c r="S269">
        <v>9.6</v>
      </c>
      <c r="T269">
        <v>0.97409795874860095</v>
      </c>
      <c r="U269">
        <v>1.536</v>
      </c>
      <c r="V269">
        <v>49.472186588921275</v>
      </c>
      <c r="W269">
        <v>4.9472186588921279</v>
      </c>
      <c r="X269">
        <v>40.799999999999997</v>
      </c>
    </row>
    <row r="270" spans="1:24" x14ac:dyDescent="0.35">
      <c r="A270" t="s">
        <v>24</v>
      </c>
      <c r="B270" t="s">
        <v>31</v>
      </c>
      <c r="C270">
        <v>2025</v>
      </c>
      <c r="D270" t="s">
        <v>10</v>
      </c>
      <c r="E270" t="s">
        <v>11</v>
      </c>
      <c r="F270" t="s">
        <v>11</v>
      </c>
      <c r="G270" t="s">
        <v>15</v>
      </c>
      <c r="H270" t="s">
        <v>15</v>
      </c>
      <c r="I270" t="s">
        <v>15</v>
      </c>
      <c r="K270" t="s">
        <v>20</v>
      </c>
      <c r="L270" t="s">
        <v>18</v>
      </c>
      <c r="M270" t="s">
        <v>17</v>
      </c>
      <c r="O270" s="5">
        <v>10</v>
      </c>
      <c r="P270">
        <v>175.2</v>
      </c>
      <c r="Q270">
        <v>146.19999999999999</v>
      </c>
      <c r="R270">
        <v>2.629008746355685</v>
      </c>
      <c r="S270">
        <v>10.7</v>
      </c>
      <c r="T270">
        <v>1.9758183426717781</v>
      </c>
      <c r="U270">
        <v>1.712</v>
      </c>
      <c r="V270">
        <v>45.008629737609326</v>
      </c>
      <c r="W270">
        <v>4.5008629737609329</v>
      </c>
      <c r="X270">
        <v>51.55</v>
      </c>
    </row>
    <row r="271" spans="1:24" x14ac:dyDescent="0.35">
      <c r="A271" t="s">
        <v>26</v>
      </c>
      <c r="B271" t="s">
        <v>31</v>
      </c>
      <c r="C271">
        <v>2025</v>
      </c>
      <c r="D271" t="s">
        <v>10</v>
      </c>
      <c r="E271" t="s">
        <v>11</v>
      </c>
      <c r="F271" t="s">
        <v>11</v>
      </c>
      <c r="G271" t="s">
        <v>15</v>
      </c>
      <c r="H271" t="s">
        <v>15</v>
      </c>
      <c r="I271" t="s">
        <v>15</v>
      </c>
      <c r="K271" t="s">
        <v>20</v>
      </c>
      <c r="L271" t="s">
        <v>18</v>
      </c>
      <c r="M271" t="s">
        <v>17</v>
      </c>
      <c r="O271" s="5">
        <v>10</v>
      </c>
      <c r="P271">
        <v>10</v>
      </c>
      <c r="Q271">
        <v>10</v>
      </c>
      <c r="R271">
        <v>1.1413994169096211</v>
      </c>
      <c r="S271">
        <v>9</v>
      </c>
      <c r="T271">
        <v>1.6861984655593965</v>
      </c>
      <c r="U271">
        <v>1.44</v>
      </c>
      <c r="V271">
        <v>16.436151603498544</v>
      </c>
      <c r="W271">
        <v>1.6436151603498543</v>
      </c>
      <c r="X271">
        <v>20.549999999999997</v>
      </c>
    </row>
  </sheetData>
  <autoFilter ref="A1:W181" xr:uid="{67DB2DCA-317A-42E1-94B7-A557731F58A0}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4AB3-D989-42B6-A223-EAF7AEBC3F2C}">
  <dimension ref="A1:B5"/>
  <sheetViews>
    <sheetView workbookViewId="0">
      <selection activeCell="A2" sqref="A2:B5"/>
    </sheetView>
  </sheetViews>
  <sheetFormatPr defaultRowHeight="14.5" x14ac:dyDescent="0.35"/>
  <sheetData>
    <row r="1" spans="1:2" x14ac:dyDescent="0.35">
      <c r="B1" t="s">
        <v>35</v>
      </c>
    </row>
    <row r="2" spans="1:2" x14ac:dyDescent="0.35">
      <c r="A2" t="s">
        <v>20</v>
      </c>
      <c r="B2">
        <v>6.25</v>
      </c>
    </row>
    <row r="3" spans="1:2" x14ac:dyDescent="0.35">
      <c r="A3" t="s">
        <v>17</v>
      </c>
      <c r="B3">
        <v>5.8</v>
      </c>
    </row>
    <row r="4" spans="1:2" x14ac:dyDescent="0.35">
      <c r="A4" t="s">
        <v>19</v>
      </c>
      <c r="B4">
        <v>5.61</v>
      </c>
    </row>
    <row r="5" spans="1:2" x14ac:dyDescent="0.35">
      <c r="A5" t="s">
        <v>18</v>
      </c>
      <c r="B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2025-02-28T00:07:24Z</dcterms:created>
  <dcterms:modified xsi:type="dcterms:W3CDTF">2026-03-06T07:05:36Z</dcterms:modified>
</cp:coreProperties>
</file>